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My Projects\Sales_Analysis_Project\"/>
    </mc:Choice>
  </mc:AlternateContent>
  <bookViews>
    <workbookView xWindow="-120" yWindow="-120" windowWidth="29040" windowHeight="15720"/>
  </bookViews>
  <sheets>
    <sheet name="Dashboard" sheetId="9" r:id="rId1"/>
    <sheet name="Tabels" sheetId="7" r:id="rId2"/>
    <sheet name="Customers" sheetId="4" r:id="rId3"/>
    <sheet name="Orders" sheetId="5" r:id="rId4"/>
    <sheet name="Products" sheetId="6" r:id="rId5"/>
  </sheets>
  <definedNames>
    <definedName name="_xlcn.LinkedTable_customers1" hidden="1">customers[]</definedName>
    <definedName name="_xlcn.LinkedTable_orders1" hidden="1">orders[]</definedName>
    <definedName name="_xlcn.LinkedTable_products1" hidden="1">products[]</definedName>
    <definedName name="ExternalData_1" localSheetId="2" hidden="1">Customers!$A$1:$C$4</definedName>
    <definedName name="ExternalData_1" localSheetId="3" hidden="1">Orders!$A$1:$E$6</definedName>
    <definedName name="ExternalData_1" localSheetId="4" hidden="1">Products!$A$1:$D$4</definedName>
    <definedName name="Slicer_category">#N/A</definedName>
    <definedName name="Slicer_city">#N/A</definedName>
    <definedName name="Slicer_customer_name">#N/A</definedName>
    <definedName name="Slicer_order_date">#N/A</definedName>
    <definedName name="Slicer_order_date__Month">#N/A</definedName>
    <definedName name="Slicer_product_name">#N/A</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LinkedTable_products"/>
          <x15:modelTable id="orders" name="orders" connection="LinkedTable_orders"/>
          <x15:modelTable id="customers" name="customers" connection="LinkedTable_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F42" i="9" l="1"/>
  <c r="F40" i="9"/>
  <c r="C56" i="7"/>
  <c r="C55" i="7"/>
  <c r="C54" i="7"/>
  <c r="C53" i="7"/>
  <c r="F41" i="9"/>
  <c r="C57" i="7" l="1"/>
  <c r="F39" i="9"/>
  <c r="F38" i="9"/>
  <c r="N36" i="7"/>
  <c r="N40" i="7"/>
  <c r="P40" i="7"/>
  <c r="P36" i="7"/>
</calcChain>
</file>

<file path=xl/connections.xml><?xml version="1.0" encoding="utf-8"?>
<connections xmlns="http://schemas.openxmlformats.org/spreadsheetml/2006/main">
  <connection id="1" name="LinkedTable_customers" type="102" refreshedVersion="8" minRefreshableVersion="5">
    <extLst>
      <ext xmlns:x15="http://schemas.microsoft.com/office/spreadsheetml/2010/11/main" uri="{DE250136-89BD-433C-8126-D09CA5730AF9}">
        <x15:connection id="customers">
          <x15:rangePr sourceName="_xlcn.LinkedTable_customers1"/>
        </x15:connection>
      </ext>
    </extLst>
  </connection>
  <connection id="2" name="LinkedTable_orders" type="102" refreshedVersion="8" minRefreshableVersion="5">
    <extLst>
      <ext xmlns:x15="http://schemas.microsoft.com/office/spreadsheetml/2010/11/main" uri="{DE250136-89BD-433C-8126-D09CA5730AF9}">
        <x15:connection id="orders">
          <x15:rangePr sourceName="_xlcn.LinkedTable_orders1"/>
        </x15:connection>
      </ext>
    </extLst>
  </connection>
  <connection id="3" name="LinkedTable_products" type="102" refreshedVersion="8" minRefreshableVersion="5">
    <extLst>
      <ext xmlns:x15="http://schemas.microsoft.com/office/spreadsheetml/2010/11/main" uri="{DE250136-89BD-433C-8126-D09CA5730AF9}">
        <x15:connection id="products">
          <x15:rangePr sourceName="_xlcn.LinkedTable_products1"/>
        </x15:connection>
      </ext>
    </extLst>
  </connection>
  <connection id="4" keepAlive="1" name="Query - customers" description="Connection to the 'customers' query in the workbook." type="5" refreshedVersion="6" background="1" saveData="1">
    <dbPr connection="Provider=Microsoft.Mashup.OleDb.1;Data Source=$Workbook$;Location=customers;Extended Properties=&quot;&quot;" command="SELECT * FROM [customers]"/>
  </connection>
  <connection id="5" keepAlive="1" name="Query - orders" description="Connection to the 'orders' query in the workbook." type="5" refreshedVersion="6" background="1" saveData="1">
    <dbPr connection="Provider=Microsoft.Mashup.OleDb.1;Data Source=$Workbook$;Location=orders;Extended Properties=&quot;&quot;" command="SELECT * FROM [orders]"/>
  </connection>
  <connection id="6" keepAlive="1" name="Query - products" description="Connection to the 'products' query in the workbook." type="5" refreshedVersion="6" background="1" saveData="1">
    <dbPr connection="Provider=Microsoft.Mashup.OleDb.1;Data Source=$Workbook$;Location=products;Extended Properties=&quot;&quot;" command="SELECT * FROM [products]"/>
  </connection>
  <connection id="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<sst xmlns="http://schemas.openxmlformats.org/spreadsheetml/2006/main" count="91" uniqueCount="46">
  <si>
    <t>product_name</t>
  </si>
  <si>
    <t>Laptop</t>
  </si>
  <si>
    <t>Phone</t>
  </si>
  <si>
    <t>Headphones</t>
  </si>
  <si>
    <t>customer_id</t>
  </si>
  <si>
    <t>customer_name</t>
  </si>
  <si>
    <t>city</t>
  </si>
  <si>
    <t>Ahmed</t>
  </si>
  <si>
    <t>Cairo</t>
  </si>
  <si>
    <t>Sara</t>
  </si>
  <si>
    <t>Giza</t>
  </si>
  <si>
    <t>Omar</t>
  </si>
  <si>
    <t>Alex</t>
  </si>
  <si>
    <t>order_id</t>
  </si>
  <si>
    <t>product_id</t>
  </si>
  <si>
    <t>quantity</t>
  </si>
  <si>
    <t>order_date</t>
  </si>
  <si>
    <t>category</t>
  </si>
  <si>
    <t>price</t>
  </si>
  <si>
    <t>Electronics</t>
  </si>
  <si>
    <t>Accessories</t>
  </si>
  <si>
    <t>Row Labels</t>
  </si>
  <si>
    <t>Grand Total</t>
  </si>
  <si>
    <t>Jan</t>
  </si>
  <si>
    <t>Feb</t>
  </si>
  <si>
    <t>Mar</t>
  </si>
  <si>
    <t>Total_Revenue</t>
  </si>
  <si>
    <t>Total_Quantity</t>
  </si>
  <si>
    <t>Total_Orders</t>
  </si>
  <si>
    <t>Average_order_value</t>
  </si>
  <si>
    <t>Metric</t>
  </si>
  <si>
    <t>Value</t>
  </si>
  <si>
    <t>Status</t>
  </si>
  <si>
    <t>Trend</t>
  </si>
  <si>
    <t>Total Revenue</t>
  </si>
  <si>
    <t>Total Orders</t>
  </si>
  <si>
    <t>Best Product</t>
  </si>
  <si>
    <t xml:space="preserve"> Best Month</t>
  </si>
  <si>
    <t>AvgOrder Value</t>
  </si>
  <si>
    <t>✅Good</t>
  </si>
  <si>
    <t>🏆Top</t>
  </si>
  <si>
    <t>✔</t>
  </si>
  <si>
    <t>⭐</t>
  </si>
  <si>
    <t>📈</t>
  </si>
  <si>
    <t xml:space="preserve">   Summary Tabel</t>
  </si>
  <si>
    <t xml:space="preserve">         Summary Tabel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</si>
</sst>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2"/>
      <color theme="8" tint="-0.499984740745262"/>
      <name val="Calibri"/>
      <family val="2"/>
      <scheme val="minor"/>
    </font>
    <font>
      <b/>
      <sz val="12"/>
      <color rgb="FFC00000"/>
      <name val="Calibri"/>
      <family val="2"/>
      <scheme val="minor"/>
    </font>
    <font>
      <b/>
      <sz val="11"/>
      <color rgb="FFC00000"/>
      <name val="Calibri"/>
      <family val="2"/>
      <scheme val="minor"/>
    </font>
    <font>
      <b/>
      <sz val="11"/>
      <color theme="7"/>
      <name val="Calibri"/>
      <family val="2"/>
      <scheme val="minor"/>
    </font>
    <font>
      <b/>
      <sz val="11"/>
      <color rgb="FF002060"/>
      <name val="Calibri"/>
      <family val="2"/>
      <scheme val="minor"/>
    </font>
    <font>
      <b/>
      <sz val="14"/>
      <color theme="7"/>
      <name val="Calibri"/>
      <family val="2"/>
      <scheme val="minor"/>
    </font>
    <font>
      <b/>
      <sz val="14"/>
      <color rgb="FFC00000"/>
      <name val="Calibri"/>
      <family val="2"/>
      <scheme val="minor"/>
    </font>
    <font>
      <b/>
      <sz val="14"/>
      <name val="Calibri"/>
      <family val="2"/>
      <scheme val="minor"/>
    </font>
    <font>
      <b/>
      <sz val="16"/>
      <color theme="8" tint="-0.499984740745262"/>
      <name val="Calibri"/>
      <family val="2"/>
      <scheme val="minor"/>
    </font>
    <font>
      <b/>
      <sz val="18"/>
      <color theme="1"/>
      <name val="Calibri"/>
      <family val="2"/>
      <scheme val="minor"/>
    </font>
    <font>
      <b/>
      <sz val="18"/>
      <color rgb="FFC0000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s>
  <borders count="2">
    <border>
      <left/>
      <right/>
      <top/>
      <bottom/>
      <diagonal/>
    </border>
    <border>
      <left style="thick">
        <color theme="3"/>
      </left>
      <right style="thick">
        <color theme="3"/>
      </right>
      <top style="thick">
        <color theme="3"/>
      </top>
      <bottom style="thick">
        <color theme="3"/>
      </bottom>
      <diagonal/>
    </border>
  </borders>
  <cellStyleXfs count="1">
    <xf numFmtId="0" fontId="0" fillId="0" borderId="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0" fillId="0" borderId="0" xfId="0" applyBorder="1"/>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xf>
    <xf numFmtId="0" fontId="4" fillId="2" borderId="1" xfId="0" applyFont="1" applyFill="1" applyBorder="1" applyAlignment="1">
      <alignment horizontal="center"/>
    </xf>
    <xf numFmtId="0" fontId="9"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xf>
    <xf numFmtId="0" fontId="7" fillId="3" borderId="1" xfId="0" applyFont="1" applyFill="1" applyBorder="1" applyAlignment="1">
      <alignment horizontal="center"/>
    </xf>
    <xf numFmtId="0" fontId="6" fillId="3" borderId="1" xfId="0" applyFont="1" applyFill="1" applyBorder="1" applyAlignment="1">
      <alignment horizontal="center"/>
    </xf>
    <xf numFmtId="0" fontId="5" fillId="2" borderId="1" xfId="0" applyFont="1" applyFill="1" applyBorder="1" applyAlignment="1">
      <alignment horizontal="center"/>
    </xf>
    <xf numFmtId="0" fontId="2" fillId="0" borderId="1" xfId="0" applyFont="1" applyBorder="1" applyAlignment="1">
      <alignment horizontal="center" vertical="center" wrapText="1"/>
    </xf>
    <xf numFmtId="0" fontId="5" fillId="0" borderId="1" xfId="0" applyFont="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10" fillId="0" borderId="0" xfId="0" applyFont="1" applyAlignment="1">
      <alignment horizontal="left"/>
    </xf>
    <xf numFmtId="0" fontId="11" fillId="0" borderId="0" xfId="0" applyFont="1" applyAlignment="1">
      <alignment horizontal="left"/>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07/relationships/slicerCache" Target="slicerCaches/slicerCache5.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6.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[Excel_Dashboard.xlsx]Tabels!Best Selling Product</c:name>
    <c:fmtId val="11"/>
  </c:pivotSource>
  <c:chart>
    <c:title>
      <c:tx>
        <c:rich>
          <a:bodyPr rot="0" spcFirstLastPara="1" vertOverflow="ellipsis" vert="horz" wrap="square" anchor="ctr" anchorCtr="1"/>
          <a:lstStyle/>
          <a:p>
            <a:pPr>
              <a:defRPr sz="18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r>
              <a:rPr lang="en-US" sz="18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rPr>
              <a:t>Best Selling Product</a:t>
            </a:r>
          </a:p>
        </c:rich>
      </c:tx>
      <c:layout/>
      <c:overlay val="0"/>
      <c:spPr>
        <a:noFill/>
        <a:ln>
          <a:noFill/>
        </a:ln>
        <a:effectLst/>
      </c:spPr>
      <c:txPr>
        <a:bodyPr rot="0" spcFirstLastPara="1" vertOverflow="ellipsis" vert="horz" wrap="square" anchor="ctr" anchorCtr="1"/>
        <a:lstStyle/>
        <a:p>
          <a:pPr>
            <a:defRPr sz="18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solidFill>
              <a:schemeClr val="bg1">
                <a:lumMod val="95000"/>
              </a:schemeClr>
            </a:solidFill>
          </a:ln>
          <a:effectLst/>
        </c:spPr>
        <c:marker>
          <c:symbol val="none"/>
        </c:marker>
      </c:pivotFmt>
    </c:pivotFmts>
    <c:plotArea>
      <c:layout/>
      <c:barChart>
        <c:barDir val="bar"/>
        <c:grouping val="clustered"/>
        <c:varyColors val="0"/>
        <c:ser>
          <c:idx val="0"/>
          <c:order val="0"/>
          <c:tx>
            <c:strRef>
              <c:f>Tabels!$C$3</c:f>
              <c:strCache>
                <c:ptCount val="1"/>
                <c:pt idx="0">
                  <c:v>Total</c:v>
                </c:pt>
              </c:strCache>
            </c:strRef>
          </c:tx>
          <c:spPr>
            <a:solidFill>
              <a:schemeClr val="tx2">
                <a:lumMod val="50000"/>
              </a:schemeClr>
            </a:solidFill>
            <a:ln>
              <a:solidFill>
                <a:schemeClr val="bg1">
                  <a:lumMod val="95000"/>
                </a:schemeClr>
              </a:solidFill>
            </a:ln>
            <a:effectLst/>
          </c:spPr>
          <c:invertIfNegative val="0"/>
          <c:cat>
            <c:strRef>
              <c:f>Tabels!$B$4:$B$7</c:f>
              <c:strCache>
                <c:ptCount val="3"/>
                <c:pt idx="0">
                  <c:v>Laptop</c:v>
                </c:pt>
                <c:pt idx="1">
                  <c:v>Phone</c:v>
                </c:pt>
                <c:pt idx="2">
                  <c:v>Headphones</c:v>
                </c:pt>
              </c:strCache>
            </c:strRef>
          </c:cat>
          <c:val>
            <c:numRef>
              <c:f>Tabels!$C$4:$C$7</c:f>
              <c:numCache>
                <c:formatCode>General</c:formatCode>
                <c:ptCount val="3"/>
                <c:pt idx="0">
                  <c:v>30000</c:v>
                </c:pt>
                <c:pt idx="1">
                  <c:v>8000</c:v>
                </c:pt>
                <c:pt idx="2">
                  <c:v>6000</c:v>
                </c:pt>
              </c:numCache>
            </c:numRef>
          </c:val>
          <c:extLst>
            <c:ext xmlns:c16="http://schemas.microsoft.com/office/drawing/2014/chart" uri="{C3380CC4-5D6E-409C-BE32-E72D297353CC}">
              <c16:uniqueId val="{00000000-4738-48BF-9D12-16511DF4470A}"/>
            </c:ext>
          </c:extLst>
        </c:ser>
        <c:dLbls>
          <c:showLegendKey val="0"/>
          <c:showVal val="0"/>
          <c:showCatName val="0"/>
          <c:showSerName val="0"/>
          <c:showPercent val="0"/>
          <c:showBubbleSize val="0"/>
        </c:dLbls>
        <c:gapWidth val="182"/>
        <c:axId val="86398975"/>
        <c:axId val="86398495"/>
      </c:barChart>
      <c:catAx>
        <c:axId val="8639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crossAx val="86398495"/>
        <c:crosses val="autoZero"/>
        <c:auto val="1"/>
        <c:lblAlgn val="ctr"/>
        <c:lblOffset val="100"/>
        <c:noMultiLvlLbl val="0"/>
      </c:catAx>
      <c:valAx>
        <c:axId val="86398495"/>
        <c:scaling>
          <c:orientation val="minMax"/>
        </c:scaling>
        <c:delete val="0"/>
        <c:axPos val="b"/>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crossAx val="8639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solidFill>
            <a:schemeClr val="bg1"/>
          </a:solidFill>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[Excel_Dashboard.xlsx]Tabels!Top Customers</c:name>
    <c:fmtId val="6"/>
  </c:pivotSource>
  <c:chart>
    <c:title>
      <c:tx>
        <c:rich>
          <a:bodyPr rot="0" spcFirstLastPara="1" vertOverflow="ellipsis" vert="horz" wrap="square" anchor="ctr" anchorCtr="1"/>
          <a:lstStyle/>
          <a:p>
            <a:pPr>
              <a:defRPr sz="18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r>
              <a:rPr lang="en-US" sz="18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 lastClr="FFFFFF"/>
                </a:solidFill>
                <a:effectLst>
                  <a:outerShdw blurRad="50800" dist="38100" dir="2700000" algn="tl" rotWithShape="0">
                    <a:prstClr val="black">
                      <a:alpha val="40000"/>
                    </a:prstClr>
                  </a:outerShdw>
                </a:effectLst>
              </a:rPr>
              <a:t>Top Customers</a:t>
            </a:r>
          </a:p>
        </c:rich>
      </c:tx>
      <c:layout/>
      <c:overlay val="0"/>
      <c:spPr>
        <a:noFill/>
        <a:ln>
          <a:noFill/>
        </a:ln>
        <a:effectLst/>
      </c:spPr>
      <c:txPr>
        <a:bodyPr rot="0" spcFirstLastPara="1" vertOverflow="ellipsis" vert="horz" wrap="square" anchor="ctr" anchorCtr="1"/>
        <a:lstStyle/>
        <a:p>
          <a:pPr>
            <a:defRPr sz="18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solidFill>
              <a:schemeClr val="bg1"/>
            </a:solidFill>
          </a:ln>
          <a:effectLst/>
        </c:spPr>
        <c:marker>
          <c:symbol val="none"/>
        </c:marker>
      </c:pivotFmt>
    </c:pivotFmts>
    <c:plotArea>
      <c:layout/>
      <c:barChart>
        <c:barDir val="col"/>
        <c:grouping val="clustered"/>
        <c:varyColors val="0"/>
        <c:ser>
          <c:idx val="0"/>
          <c:order val="0"/>
          <c:tx>
            <c:strRef>
              <c:f>Tabels!$C$35</c:f>
              <c:strCache>
                <c:ptCount val="1"/>
                <c:pt idx="0">
                  <c:v>Total</c:v>
                </c:pt>
              </c:strCache>
            </c:strRef>
          </c:tx>
          <c:spPr>
            <a:solidFill>
              <a:schemeClr val="tx2">
                <a:lumMod val="50000"/>
              </a:schemeClr>
            </a:solidFill>
            <a:ln>
              <a:solidFill>
                <a:schemeClr val="bg1"/>
              </a:solidFill>
            </a:ln>
            <a:effectLst/>
          </c:spPr>
          <c:invertIfNegative val="0"/>
          <c:cat>
            <c:strRef>
              <c:f>Tabels!$B$36:$B$39</c:f>
              <c:strCache>
                <c:ptCount val="3"/>
                <c:pt idx="0">
                  <c:v>Ahmed</c:v>
                </c:pt>
                <c:pt idx="1">
                  <c:v>Omar</c:v>
                </c:pt>
                <c:pt idx="2">
                  <c:v>Sara</c:v>
                </c:pt>
              </c:strCache>
            </c:strRef>
          </c:cat>
          <c:val>
            <c:numRef>
              <c:f>Tabels!$C$36:$C$39</c:f>
              <c:numCache>
                <c:formatCode>General</c:formatCode>
                <c:ptCount val="3"/>
                <c:pt idx="0">
                  <c:v>17400</c:v>
                </c:pt>
                <c:pt idx="1">
                  <c:v>15000</c:v>
                </c:pt>
                <c:pt idx="2">
                  <c:v>11600</c:v>
                </c:pt>
              </c:numCache>
            </c:numRef>
          </c:val>
          <c:extLst>
            <c:ext xmlns:c16="http://schemas.microsoft.com/office/drawing/2014/chart" uri="{C3380CC4-5D6E-409C-BE32-E72D297353CC}">
              <c16:uniqueId val="{00000000-05C9-47D7-892E-228C1C2594FA}"/>
            </c:ext>
          </c:extLst>
        </c:ser>
        <c:dLbls>
          <c:showLegendKey val="0"/>
          <c:showVal val="0"/>
          <c:showCatName val="0"/>
          <c:showSerName val="0"/>
          <c:showPercent val="0"/>
          <c:showBubbleSize val="0"/>
        </c:dLbls>
        <c:gapWidth val="219"/>
        <c:overlap val="-27"/>
        <c:axId val="86428735"/>
        <c:axId val="86421055"/>
      </c:barChart>
      <c:catAx>
        <c:axId val="8642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crossAx val="86421055"/>
        <c:crosses val="autoZero"/>
        <c:auto val="1"/>
        <c:lblAlgn val="ctr"/>
        <c:lblOffset val="100"/>
        <c:noMultiLvlLbl val="0"/>
      </c:catAx>
      <c:valAx>
        <c:axId val="86421055"/>
        <c:scaling>
          <c:orientation val="minMax"/>
        </c:scaling>
        <c:delete val="0"/>
        <c:axPos val="l"/>
        <c:majorGridlines>
          <c:spPr>
            <a:ln w="9525" cap="flat" cmpd="sng" algn="ctr">
              <a:solidFill>
                <a:schemeClr val="accent1">
                  <a:lumMod val="7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crossAx val="8642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[Excel_Dashboard.xlsx]Tabels!Revenue Per Month</c:name>
    <c:fmtId val="3"/>
  </c:pivotSource>
  <c:chart>
    <c:title>
      <c:tx>
        <c:rich>
          <a:bodyPr rot="0" spcFirstLastPara="1" vertOverflow="ellipsis" vert="horz" wrap="square" anchor="ctr" anchorCtr="1"/>
          <a:lstStyle/>
          <a:p>
            <a:pPr>
              <a:defRPr sz="18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r>
              <a:rPr lang="en-US" sz="18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rPr>
              <a:t>Revenue Per Month</a:t>
            </a:r>
          </a:p>
        </c:rich>
      </c:tx>
      <c:layout/>
      <c:overlay val="0"/>
      <c:spPr>
        <a:noFill/>
        <a:ln>
          <a:noFill/>
        </a:ln>
        <a:effectLst/>
      </c:spPr>
      <c:txPr>
        <a:bodyPr rot="0" spcFirstLastPara="1" vertOverflow="ellipsis" vert="horz" wrap="square" anchor="ctr" anchorCtr="1"/>
        <a:lstStyle/>
        <a:p>
          <a:pPr>
            <a:defRPr sz="18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schemeClr>
            </a:solidFill>
            <a:round/>
          </a:ln>
          <a:effectLst/>
        </c:spPr>
        <c:marker>
          <c:symbol val="none"/>
        </c:marker>
      </c:pivotFmt>
    </c:pivotFmts>
    <c:plotArea>
      <c:layout/>
      <c:lineChart>
        <c:grouping val="standard"/>
        <c:varyColors val="0"/>
        <c:ser>
          <c:idx val="0"/>
          <c:order val="0"/>
          <c:tx>
            <c:strRef>
              <c:f>Tabels!$O$3</c:f>
              <c:strCache>
                <c:ptCount val="1"/>
                <c:pt idx="0">
                  <c:v>Total</c:v>
                </c:pt>
              </c:strCache>
            </c:strRef>
          </c:tx>
          <c:spPr>
            <a:ln w="28575" cap="rnd">
              <a:solidFill>
                <a:schemeClr val="tx2">
                  <a:lumMod val="50000"/>
                </a:schemeClr>
              </a:solidFill>
              <a:round/>
            </a:ln>
            <a:effectLst/>
          </c:spPr>
          <c:marker>
            <c:symbol val="none"/>
          </c:marker>
          <c:cat>
            <c:strRef>
              <c:f>Tabels!$N$4:$N$7</c:f>
              <c:strCache>
                <c:ptCount val="3"/>
                <c:pt idx="0">
                  <c:v>Jan</c:v>
                </c:pt>
                <c:pt idx="1">
                  <c:v>Feb</c:v>
                </c:pt>
                <c:pt idx="2">
                  <c:v>Mar</c:v>
                </c:pt>
              </c:strCache>
            </c:strRef>
          </c:cat>
          <c:val>
            <c:numRef>
              <c:f>Tabels!$O$4:$O$7</c:f>
              <c:numCache>
                <c:formatCode>General</c:formatCode>
                <c:ptCount val="3"/>
                <c:pt idx="0">
                  <c:v>17400</c:v>
                </c:pt>
                <c:pt idx="1">
                  <c:v>23000</c:v>
                </c:pt>
                <c:pt idx="2">
                  <c:v>3600</c:v>
                </c:pt>
              </c:numCache>
            </c:numRef>
          </c:val>
          <c:smooth val="0"/>
          <c:extLst>
            <c:ext xmlns:c16="http://schemas.microsoft.com/office/drawing/2014/chart" uri="{C3380CC4-5D6E-409C-BE32-E72D297353CC}">
              <c16:uniqueId val="{00000000-12E0-4F99-A4C3-6EF07913A66D}"/>
            </c:ext>
          </c:extLst>
        </c:ser>
        <c:dLbls>
          <c:showLegendKey val="0"/>
          <c:showVal val="0"/>
          <c:showCatName val="0"/>
          <c:showSerName val="0"/>
          <c:showPercent val="0"/>
          <c:showBubbleSize val="0"/>
        </c:dLbls>
        <c:smooth val="0"/>
        <c:axId val="259720543"/>
        <c:axId val="259729663"/>
      </c:lineChart>
      <c:catAx>
        <c:axId val="259720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crossAx val="259729663"/>
        <c:crosses val="autoZero"/>
        <c:auto val="1"/>
        <c:lblAlgn val="ctr"/>
        <c:lblOffset val="100"/>
        <c:noMultiLvlLbl val="0"/>
      </c:catAx>
      <c:valAx>
        <c:axId val="259729663"/>
        <c:scaling>
          <c:orientation val="minMax"/>
        </c:scaling>
        <c:delete val="0"/>
        <c:axPos val="l"/>
        <c:majorGridlines>
          <c:spPr>
            <a:ln w="9525" cap="flat" cmpd="sng" algn="ctr">
              <a:solidFill>
                <a:schemeClr val="accent1"/>
              </a:solidFill>
              <a:round/>
            </a:ln>
            <a:effectLst/>
          </c:spPr>
        </c:majorGridlines>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105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crossAx val="25972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[Excel_Dashboard.xlsx]Tabels!Revenue by Category</c:name>
    <c:fmtId val="5"/>
  </c:pivotSource>
  <c:chart>
    <c:title>
      <c:tx>
        <c:rich>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r>
              <a:rPr lang="en-US" sz="18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rPr>
              <a:t>Revenue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solidFill>
              <a:schemeClr val="bg1"/>
            </a:solidFill>
          </a:ln>
          <a:effectLst/>
        </c:spPr>
        <c:marker>
          <c:symbol val="none"/>
        </c:marker>
      </c:pivotFmt>
    </c:pivotFmts>
    <c:plotArea>
      <c:layout/>
      <c:barChart>
        <c:barDir val="col"/>
        <c:grouping val="clustered"/>
        <c:varyColors val="0"/>
        <c:ser>
          <c:idx val="0"/>
          <c:order val="0"/>
          <c:tx>
            <c:strRef>
              <c:f>Tabels!$J$3</c:f>
              <c:strCache>
                <c:ptCount val="1"/>
                <c:pt idx="0">
                  <c:v>Total</c:v>
                </c:pt>
              </c:strCache>
            </c:strRef>
          </c:tx>
          <c:spPr>
            <a:solidFill>
              <a:schemeClr val="tx2">
                <a:lumMod val="50000"/>
              </a:schemeClr>
            </a:solidFill>
            <a:ln>
              <a:solidFill>
                <a:schemeClr val="bg1"/>
              </a:solidFill>
            </a:ln>
            <a:effectLst/>
          </c:spPr>
          <c:invertIfNegative val="0"/>
          <c:cat>
            <c:strRef>
              <c:f>Tabels!$I$4:$I$6</c:f>
              <c:strCache>
                <c:ptCount val="2"/>
                <c:pt idx="0">
                  <c:v>Electronics</c:v>
                </c:pt>
                <c:pt idx="1">
                  <c:v>Accessories</c:v>
                </c:pt>
              </c:strCache>
            </c:strRef>
          </c:cat>
          <c:val>
            <c:numRef>
              <c:f>Tabels!$J$4:$J$6</c:f>
              <c:numCache>
                <c:formatCode>General</c:formatCode>
                <c:ptCount val="2"/>
                <c:pt idx="0">
                  <c:v>38000</c:v>
                </c:pt>
                <c:pt idx="1">
                  <c:v>6000</c:v>
                </c:pt>
              </c:numCache>
            </c:numRef>
          </c:val>
          <c:extLst>
            <c:ext xmlns:c16="http://schemas.microsoft.com/office/drawing/2014/chart" uri="{C3380CC4-5D6E-409C-BE32-E72D297353CC}">
              <c16:uniqueId val="{00000000-FB0D-4FC7-B966-1C1E45E102D5}"/>
            </c:ext>
          </c:extLst>
        </c:ser>
        <c:dLbls>
          <c:showLegendKey val="0"/>
          <c:showVal val="0"/>
          <c:showCatName val="0"/>
          <c:showSerName val="0"/>
          <c:showPercent val="0"/>
          <c:showBubbleSize val="0"/>
        </c:dLbls>
        <c:gapWidth val="219"/>
        <c:overlap val="-27"/>
        <c:axId val="259692223"/>
        <c:axId val="259694143"/>
      </c:barChart>
      <c:catAx>
        <c:axId val="25969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effectLst>
                  <a:outerShdw blurRad="50800" dist="38100" dir="2700000" algn="tl" rotWithShape="0">
                    <a:prstClr val="black">
                      <a:alpha val="40000"/>
                    </a:prstClr>
                  </a:outerShdw>
                </a:effectLst>
                <a:latin typeface="+mn-lt"/>
                <a:ea typeface="+mn-ea"/>
                <a:cs typeface="+mn-cs"/>
              </a:defRPr>
            </a:pPr>
            <a:endParaRPr lang="en-US"/>
          </a:p>
        </c:txPr>
        <c:crossAx val="259694143"/>
        <c:crosses val="autoZero"/>
        <c:auto val="1"/>
        <c:lblAlgn val="ctr"/>
        <c:lblOffset val="100"/>
        <c:noMultiLvlLbl val="0"/>
      </c:catAx>
      <c:valAx>
        <c:axId val="259694143"/>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105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crossAx val="25969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[Excel_Dashboard.xlsx]Tabels!Best Selling Product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Selling Product</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Tabels!$C$3</c:f>
              <c:strCache>
                <c:ptCount val="1"/>
                <c:pt idx="0">
                  <c:v>Total</c:v>
                </c:pt>
              </c:strCache>
            </c:strRef>
          </c:tx>
          <c:spPr>
            <a:solidFill>
              <a:schemeClr val="accent1"/>
            </a:solidFill>
            <a:ln>
              <a:noFill/>
            </a:ln>
            <a:effectLst/>
          </c:spPr>
          <c:invertIfNegative val="0"/>
          <c:cat>
            <c:strRef>
              <c:f>Tabels!$B$4:$B$7</c:f>
              <c:strCache>
                <c:ptCount val="3"/>
                <c:pt idx="0">
                  <c:v>Laptop</c:v>
                </c:pt>
                <c:pt idx="1">
                  <c:v>Phone</c:v>
                </c:pt>
                <c:pt idx="2">
                  <c:v>Headphones</c:v>
                </c:pt>
              </c:strCache>
            </c:strRef>
          </c:cat>
          <c:val>
            <c:numRef>
              <c:f>Tabels!$C$4:$C$7</c:f>
              <c:numCache>
                <c:formatCode>General</c:formatCode>
                <c:ptCount val="3"/>
                <c:pt idx="0">
                  <c:v>30000</c:v>
                </c:pt>
                <c:pt idx="1">
                  <c:v>8000</c:v>
                </c:pt>
                <c:pt idx="2">
                  <c:v>6000</c:v>
                </c:pt>
              </c:numCache>
            </c:numRef>
          </c:val>
          <c:extLst>
            <c:ext xmlns:c16="http://schemas.microsoft.com/office/drawing/2014/chart" uri="{C3380CC4-5D6E-409C-BE32-E72D297353CC}">
              <c16:uniqueId val="{00000000-4BE0-4C86-8764-F3228E93EBFB}"/>
            </c:ext>
          </c:extLst>
        </c:ser>
        <c:dLbls>
          <c:showLegendKey val="0"/>
          <c:showVal val="0"/>
          <c:showCatName val="0"/>
          <c:showSerName val="0"/>
          <c:showPercent val="0"/>
          <c:showBubbleSize val="0"/>
        </c:dLbls>
        <c:gapWidth val="182"/>
        <c:axId val="86398975"/>
        <c:axId val="86398495"/>
      </c:barChart>
      <c:catAx>
        <c:axId val="8639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98495"/>
        <c:crosses val="autoZero"/>
        <c:auto val="1"/>
        <c:lblAlgn val="ctr"/>
        <c:lblOffset val="100"/>
        <c:noMultiLvlLbl val="0"/>
      </c:catAx>
      <c:valAx>
        <c:axId val="86398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989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[Excel_Dashboard.xlsx]Tabels!Top Customers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Tabels!$C$35</c:f>
              <c:strCache>
                <c:ptCount val="1"/>
                <c:pt idx="0">
                  <c:v>Total</c:v>
                </c:pt>
              </c:strCache>
            </c:strRef>
          </c:tx>
          <c:spPr>
            <a:solidFill>
              <a:schemeClr val="accent1"/>
            </a:solidFill>
            <a:ln>
              <a:noFill/>
            </a:ln>
            <a:effectLst/>
          </c:spPr>
          <c:invertIfNegative val="0"/>
          <c:cat>
            <c:strRef>
              <c:f>Tabels!$B$36:$B$39</c:f>
              <c:strCache>
                <c:ptCount val="3"/>
                <c:pt idx="0">
                  <c:v>Ahmed</c:v>
                </c:pt>
                <c:pt idx="1">
                  <c:v>Omar</c:v>
                </c:pt>
                <c:pt idx="2">
                  <c:v>Sara</c:v>
                </c:pt>
              </c:strCache>
            </c:strRef>
          </c:cat>
          <c:val>
            <c:numRef>
              <c:f>Tabels!$C$36:$C$39</c:f>
              <c:numCache>
                <c:formatCode>General</c:formatCode>
                <c:ptCount val="3"/>
                <c:pt idx="0">
                  <c:v>17400</c:v>
                </c:pt>
                <c:pt idx="1">
                  <c:v>15000</c:v>
                </c:pt>
                <c:pt idx="2">
                  <c:v>11600</c:v>
                </c:pt>
              </c:numCache>
            </c:numRef>
          </c:val>
          <c:extLst>
            <c:ext xmlns:c16="http://schemas.microsoft.com/office/drawing/2014/chart" uri="{C3380CC4-5D6E-409C-BE32-E72D297353CC}">
              <c16:uniqueId val="{00000000-33DF-4BDE-BE41-9FA17677EB0D}"/>
            </c:ext>
          </c:extLst>
        </c:ser>
        <c:dLbls>
          <c:showLegendKey val="0"/>
          <c:showVal val="0"/>
          <c:showCatName val="0"/>
          <c:showSerName val="0"/>
          <c:showPercent val="0"/>
          <c:showBubbleSize val="0"/>
        </c:dLbls>
        <c:gapWidth val="219"/>
        <c:overlap val="-27"/>
        <c:axId val="86428735"/>
        <c:axId val="86421055"/>
      </c:barChart>
      <c:catAx>
        <c:axId val="8642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1055"/>
        <c:crosses val="autoZero"/>
        <c:auto val="1"/>
        <c:lblAlgn val="ctr"/>
        <c:lblOffset val="100"/>
        <c:noMultiLvlLbl val="0"/>
      </c:catAx>
      <c:valAx>
        <c:axId val="8642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87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[Excel_Dashboard.xlsx]Tabels!Revenue Per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Tabels!$O$3</c:f>
              <c:strCache>
                <c:ptCount val="1"/>
                <c:pt idx="0">
                  <c:v>Total</c:v>
                </c:pt>
              </c:strCache>
            </c:strRef>
          </c:tx>
          <c:spPr>
            <a:ln w="28575" cap="rnd">
              <a:solidFill>
                <a:schemeClr val="accent1"/>
              </a:solidFill>
              <a:round/>
            </a:ln>
            <a:effectLst/>
          </c:spPr>
          <c:marker>
            <c:symbol val="none"/>
          </c:marker>
          <c:cat>
            <c:strRef>
              <c:f>Tabels!$N$4:$N$7</c:f>
              <c:strCache>
                <c:ptCount val="3"/>
                <c:pt idx="0">
                  <c:v>Jan</c:v>
                </c:pt>
                <c:pt idx="1">
                  <c:v>Feb</c:v>
                </c:pt>
                <c:pt idx="2">
                  <c:v>Mar</c:v>
                </c:pt>
              </c:strCache>
            </c:strRef>
          </c:cat>
          <c:val>
            <c:numRef>
              <c:f>Tabels!$O$4:$O$7</c:f>
              <c:numCache>
                <c:formatCode>General</c:formatCode>
                <c:ptCount val="3"/>
                <c:pt idx="0">
                  <c:v>17400</c:v>
                </c:pt>
                <c:pt idx="1">
                  <c:v>23000</c:v>
                </c:pt>
                <c:pt idx="2">
                  <c:v>3600</c:v>
                </c:pt>
              </c:numCache>
            </c:numRef>
          </c:val>
          <c:smooth val="0"/>
          <c:extLst>
            <c:ext xmlns:c16="http://schemas.microsoft.com/office/drawing/2014/chart" uri="{C3380CC4-5D6E-409C-BE32-E72D297353CC}">
              <c16:uniqueId val="{00000000-141F-482C-82AA-A440E660C7BC}"/>
            </c:ext>
          </c:extLst>
        </c:ser>
        <c:dLbls>
          <c:showLegendKey val="0"/>
          <c:showVal val="0"/>
          <c:showCatName val="0"/>
          <c:showSerName val="0"/>
          <c:showPercent val="0"/>
          <c:showBubbleSize val="0"/>
        </c:dLbls>
        <c:smooth val="0"/>
        <c:axId val="259720543"/>
        <c:axId val="259729663"/>
      </c:lineChart>
      <c:catAx>
        <c:axId val="259720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729663"/>
        <c:crosses val="autoZero"/>
        <c:auto val="1"/>
        <c:lblAlgn val="ctr"/>
        <c:lblOffset val="100"/>
        <c:noMultiLvlLbl val="0"/>
      </c:catAx>
      <c:valAx>
        <c:axId val="25972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72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[Excel_Dashboard.xlsx]Tabels!Revenue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Tabels!$J$3</c:f>
              <c:strCache>
                <c:ptCount val="1"/>
                <c:pt idx="0">
                  <c:v>Total</c:v>
                </c:pt>
              </c:strCache>
            </c:strRef>
          </c:tx>
          <c:spPr>
            <a:solidFill>
              <a:schemeClr val="accent1"/>
            </a:solidFill>
            <a:ln>
              <a:noFill/>
            </a:ln>
            <a:effectLst/>
          </c:spPr>
          <c:invertIfNegative val="0"/>
          <c:cat>
            <c:strRef>
              <c:f>Tabels!$I$4:$I$6</c:f>
              <c:strCache>
                <c:ptCount val="2"/>
                <c:pt idx="0">
                  <c:v>Electronics</c:v>
                </c:pt>
                <c:pt idx="1">
                  <c:v>Accessories</c:v>
                </c:pt>
              </c:strCache>
            </c:strRef>
          </c:cat>
          <c:val>
            <c:numRef>
              <c:f>Tabels!$J$4:$J$6</c:f>
              <c:numCache>
                <c:formatCode>General</c:formatCode>
                <c:ptCount val="2"/>
                <c:pt idx="0">
                  <c:v>38000</c:v>
                </c:pt>
                <c:pt idx="1">
                  <c:v>6000</c:v>
                </c:pt>
              </c:numCache>
            </c:numRef>
          </c:val>
          <c:extLst>
            <c:ext xmlns:c16="http://schemas.microsoft.com/office/drawing/2014/chart" uri="{C3380CC4-5D6E-409C-BE32-E72D297353CC}">
              <c16:uniqueId val="{00000000-D50F-4DE2-BC20-C4F3F404AA41}"/>
            </c:ext>
          </c:extLst>
        </c:ser>
        <c:dLbls>
          <c:showLegendKey val="0"/>
          <c:showVal val="0"/>
          <c:showCatName val="0"/>
          <c:showSerName val="0"/>
          <c:showPercent val="0"/>
          <c:showBubbleSize val="0"/>
        </c:dLbls>
        <c:gapWidth val="219"/>
        <c:overlap val="-27"/>
        <c:axId val="259692223"/>
        <c:axId val="259694143"/>
      </c:barChart>
      <c:catAx>
        <c:axId val="25969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694143"/>
        <c:crosses val="autoZero"/>
        <c:auto val="1"/>
        <c:lblAlgn val="ctr"/>
        <c:lblOffset val="100"/>
        <c:noMultiLvlLbl val="0"/>
      </c:catAx>
      <c:valAx>
        <c:axId val="259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69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55466</xdr:colOff>
      <xdr:row>19</xdr:row>
      <xdr:rowOff>60960</xdr:rowOff>
    </xdr:from>
    <xdr:to>
      <xdr:col>8</xdr:col>
      <xdr:colOff>348395</xdr:colOff>
      <xdr:row>34</xdr:row>
      <xdr:rowOff>112395</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1865216" y="3499485"/>
          <a:ext cx="5855529" cy="276606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932401</xdr:colOff>
      <xdr:row>18</xdr:row>
      <xdr:rowOff>150495</xdr:rowOff>
    </xdr:from>
    <xdr:to>
      <xdr:col>14</xdr:col>
      <xdr:colOff>215680</xdr:colOff>
      <xdr:row>34</xdr:row>
      <xdr:rowOff>133351</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8304751" y="3408045"/>
          <a:ext cx="3340929" cy="2878456"/>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80685</xdr:colOff>
      <xdr:row>12</xdr:row>
      <xdr:rowOff>15476</xdr:rowOff>
    </xdr:from>
    <xdr:to>
      <xdr:col>14</xdr:col>
      <xdr:colOff>422236</xdr:colOff>
      <xdr:row>17</xdr:row>
      <xdr:rowOff>17234</xdr:rowOff>
    </xdr:to>
    <xdr:grpSp>
      <xdr:nvGrpSpPr>
        <xdr:cNvPr id="14" name="Group 13">
          <a:extLst>
            <a:ext uri="{FF2B5EF4-FFF2-40B4-BE49-F238E27FC236}">
              <a16:creationId xmlns:a16="http://schemas.microsoft.com/office/drawing/2014/main" id="{00000000-0008-0000-0000-00000E000000}"/>
            </a:ext>
          </a:extLst>
        </xdr:cNvPr>
        <xdr:cNvGrpSpPr/>
      </xdr:nvGrpSpPr>
      <xdr:grpSpPr>
        <a:xfrm>
          <a:off x="1894460" y="2204884"/>
          <a:ext cx="9968508" cy="914012"/>
          <a:chOff x="1516380" y="1249680"/>
          <a:chExt cx="7056120" cy="916335"/>
        </a:xfrm>
      </xdr:grpSpPr>
      <xdr:sp macro="" textlink="Tabels!N36">
        <xdr:nvSpPr>
          <xdr:cNvPr id="3" name="Rounded Rectangle 2">
            <a:extLst>
              <a:ext uri="{FF2B5EF4-FFF2-40B4-BE49-F238E27FC236}">
                <a16:creationId xmlns:a16="http://schemas.microsoft.com/office/drawing/2014/main" id="{00000000-0008-0000-0000-000003000000}"/>
              </a:ext>
            </a:extLst>
          </xdr:cNvPr>
          <xdr:cNvSpPr/>
        </xdr:nvSpPr>
        <xdr:spPr>
          <a:xfrm>
            <a:off x="1516380" y="1257300"/>
            <a:ext cx="1531620" cy="906780"/>
          </a:xfrm>
          <a:prstGeom prst="round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rtlCol="0" anchor="b"/>
          <a:lstStyle/>
          <a:p>
            <a:pPr algn="ctr"/>
            <a:fld id="{20900862-B0B2-4D42-970C-11493229F288}" type="TxLink">
              <a:rPr lang="en-US" sz="2800" b="1"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Calibri"/>
                <a:ea typeface="Calibri"/>
                <a:cs typeface="Calibri"/>
              </a:rPr>
              <a:pPr algn="ctr"/>
              <a:t>44000</a:t>
            </a:fld>
            <a:endParaRPr lang="en-US" sz="28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endParaRPr>
          </a:p>
        </xdr:txBody>
      </xdr:sp>
      <xdr:sp macro="" textlink="Tabels!N40">
        <xdr:nvSpPr>
          <xdr:cNvPr id="4" name="Rounded Rectangle 3">
            <a:extLst>
              <a:ext uri="{FF2B5EF4-FFF2-40B4-BE49-F238E27FC236}">
                <a16:creationId xmlns:a16="http://schemas.microsoft.com/office/drawing/2014/main" id="{00000000-0008-0000-0000-000004000000}"/>
              </a:ext>
            </a:extLst>
          </xdr:cNvPr>
          <xdr:cNvSpPr/>
        </xdr:nvSpPr>
        <xdr:spPr>
          <a:xfrm>
            <a:off x="3357880" y="1257300"/>
            <a:ext cx="1531620" cy="906780"/>
          </a:xfrm>
          <a:prstGeom prst="round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rtlCol="0" anchor="b"/>
          <a:lstStyle/>
          <a:p>
            <a:pPr marL="0" indent="0" algn="ctr"/>
            <a:fld id="{1C29C1F3-3C4D-46FB-AD66-B4BEFF1F5AEF}" type="TxLink">
              <a:rPr lang="en-US" sz="2800" b="1"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Calibri"/>
                <a:ea typeface="Calibri"/>
                <a:cs typeface="Calibri"/>
              </a:rPr>
              <a:pPr marL="0" indent="0" algn="ctr"/>
              <a:t>5</a:t>
            </a:fld>
            <a:endParaRPr lang="en-US" sz="2800" b="1"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Calibri"/>
              <a:ea typeface="Calibri"/>
              <a:cs typeface="Calibri"/>
            </a:endParaRPr>
          </a:p>
        </xdr:txBody>
      </xdr:sp>
      <xdr:sp macro="" textlink="Tabels!P40">
        <xdr:nvSpPr>
          <xdr:cNvPr id="5" name="Rounded Rectangle 4">
            <a:extLst>
              <a:ext uri="{FF2B5EF4-FFF2-40B4-BE49-F238E27FC236}">
                <a16:creationId xmlns:a16="http://schemas.microsoft.com/office/drawing/2014/main" id="{00000000-0008-0000-0000-000005000000}"/>
              </a:ext>
            </a:extLst>
          </xdr:cNvPr>
          <xdr:cNvSpPr/>
        </xdr:nvSpPr>
        <xdr:spPr>
          <a:xfrm>
            <a:off x="5199380" y="1249680"/>
            <a:ext cx="1531620" cy="906780"/>
          </a:xfrm>
          <a:prstGeom prst="round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rtlCol="0" anchor="b"/>
          <a:lstStyle/>
          <a:p>
            <a:pPr marL="0" indent="0" algn="ctr"/>
            <a:fld id="{644BFB3C-EA4D-44CE-9D32-0400C81B89C7}" type="TxLink">
              <a:rPr lang="en-US" sz="2800" b="1"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Calibri"/>
                <a:ea typeface="Calibri"/>
                <a:cs typeface="Calibri"/>
              </a:rPr>
              <a:pPr marL="0" indent="0" algn="ctr"/>
              <a:t>8800</a:t>
            </a:fld>
            <a:endParaRPr lang="en-US" sz="2800" b="1"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Calibri"/>
              <a:ea typeface="Calibri"/>
              <a:cs typeface="Calibri"/>
            </a:endParaRPr>
          </a:p>
        </xdr:txBody>
      </xdr:sp>
      <xdr:sp macro="" textlink="Tabels!P36">
        <xdr:nvSpPr>
          <xdr:cNvPr id="6" name="Rounded Rectangle 5">
            <a:extLst>
              <a:ext uri="{FF2B5EF4-FFF2-40B4-BE49-F238E27FC236}">
                <a16:creationId xmlns:a16="http://schemas.microsoft.com/office/drawing/2014/main" id="{00000000-0008-0000-0000-000006000000}"/>
              </a:ext>
            </a:extLst>
          </xdr:cNvPr>
          <xdr:cNvSpPr/>
        </xdr:nvSpPr>
        <xdr:spPr>
          <a:xfrm>
            <a:off x="7040880" y="1259235"/>
            <a:ext cx="1531620" cy="906780"/>
          </a:xfrm>
          <a:prstGeom prst="round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rtlCol="0" anchor="b"/>
          <a:lstStyle/>
          <a:p>
            <a:pPr marL="0" indent="0" algn="ctr"/>
            <a:fld id="{C868198A-AC00-4A02-8412-DE09E5525E74}" type="TxLink">
              <a:rPr lang="en-US" sz="2800" b="1"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Calibri"/>
                <a:ea typeface="Calibri"/>
                <a:cs typeface="Calibri"/>
              </a:rPr>
              <a:pPr marL="0" indent="0" algn="ctr"/>
              <a:t>8</a:t>
            </a:fld>
            <a:endParaRPr lang="en-US" sz="2800" b="1"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ffectLst>
                <a:outerShdw blurRad="50800" dist="38100" dir="2700000" algn="tl" rotWithShape="0">
                  <a:prstClr val="black">
                    <a:alpha val="40000"/>
                  </a:prstClr>
                </a:outerShdw>
              </a:effectLst>
              <a:latin typeface="Calibri"/>
              <a:ea typeface="Calibri"/>
              <a:cs typeface="Calibri"/>
            </a:endParaRPr>
          </a:p>
        </xdr:txBody>
      </xdr:sp>
    </xdr:grpSp>
    <xdr:clientData/>
  </xdr:twoCellAnchor>
  <xdr:twoCellAnchor>
    <xdr:from>
      <xdr:col>15</xdr:col>
      <xdr:colOff>109605</xdr:colOff>
      <xdr:row>11</xdr:row>
      <xdr:rowOff>137160</xdr:rowOff>
    </xdr:from>
    <xdr:to>
      <xdr:col>22</xdr:col>
      <xdr:colOff>439036</xdr:colOff>
      <xdr:row>35</xdr:row>
      <xdr:rowOff>200025</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12162084" y="2144118"/>
          <a:ext cx="4611656" cy="4495344"/>
          <a:chOff x="8862060" y="1188720"/>
          <a:chExt cx="4602480" cy="4930140"/>
        </a:xfrm>
      </xdr:grpSpPr>
      <xdr:sp macro="" textlink="">
        <xdr:nvSpPr>
          <xdr:cNvPr id="7" name="Rounded Rectangle 6">
            <a:extLst>
              <a:ext uri="{FF2B5EF4-FFF2-40B4-BE49-F238E27FC236}">
                <a16:creationId xmlns:a16="http://schemas.microsoft.com/office/drawing/2014/main" id="{00000000-0008-0000-0000-000007000000}"/>
              </a:ext>
            </a:extLst>
          </xdr:cNvPr>
          <xdr:cNvSpPr/>
        </xdr:nvSpPr>
        <xdr:spPr>
          <a:xfrm>
            <a:off x="8862060" y="1203960"/>
            <a:ext cx="2156460" cy="49149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11308080" y="1188720"/>
            <a:ext cx="2156460" cy="49149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564856</xdr:colOff>
      <xdr:row>6</xdr:row>
      <xdr:rowOff>91439</xdr:rowOff>
    </xdr:from>
    <xdr:to>
      <xdr:col>26</xdr:col>
      <xdr:colOff>37914</xdr:colOff>
      <xdr:row>9</xdr:row>
      <xdr:rowOff>160019</xdr:rowOff>
    </xdr:to>
    <xdr:sp macro="" textlink="">
      <xdr:nvSpPr>
        <xdr:cNvPr id="13" name="Rounded Rectangle 12">
          <a:extLst>
            <a:ext uri="{FF2B5EF4-FFF2-40B4-BE49-F238E27FC236}">
              <a16:creationId xmlns:a16="http://schemas.microsoft.com/office/drawing/2014/main" id="{00000000-0008-0000-0000-00000D000000}"/>
            </a:ext>
          </a:extLst>
        </xdr:cNvPr>
        <xdr:cNvSpPr/>
      </xdr:nvSpPr>
      <xdr:spPr>
        <a:xfrm rot="16200000">
          <a:off x="8566105" y="-5552137"/>
          <a:ext cx="634422" cy="14184939"/>
        </a:xfrm>
        <a:prstGeom prst="round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68765</xdr:colOff>
      <xdr:row>19</xdr:row>
      <xdr:rowOff>171450</xdr:rowOff>
    </xdr:from>
    <xdr:to>
      <xdr:col>8</xdr:col>
      <xdr:colOff>302712</xdr:colOff>
      <xdr:row>33</xdr:row>
      <xdr:rowOff>142874</xdr:rowOff>
    </xdr:to>
    <xdr:graphicFrame macro="">
      <xdr:nvGraphicFramePr>
        <xdr:cNvPr id="8" name="Chart 7">
          <a:extLst>
            <a:ext uri="{FF2B5EF4-FFF2-40B4-BE49-F238E27FC236}">
              <a16:creationId xmlns:a16="http://schemas.microsoft.com/office/drawing/2014/main" id="{9E301FAF-9FA5-41E3-A359-78F113C4B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85726</xdr:colOff>
      <xdr:row>19</xdr:row>
      <xdr:rowOff>95250</xdr:rowOff>
    </xdr:from>
    <xdr:to>
      <xdr:col>14</xdr:col>
      <xdr:colOff>38102</xdr:colOff>
      <xdr:row>34</xdr:row>
      <xdr:rowOff>47625</xdr:rowOff>
    </xdr:to>
    <xdr:graphicFrame macro="">
      <xdr:nvGraphicFramePr>
        <xdr:cNvPr id="15" name="Chart 14">
          <a:extLst>
            <a:ext uri="{FF2B5EF4-FFF2-40B4-BE49-F238E27FC236}">
              <a16:creationId xmlns:a16="http://schemas.microsoft.com/office/drawing/2014/main" id="{92317FEA-B58C-4977-9EA5-58276663E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523875</xdr:colOff>
      <xdr:row>12</xdr:row>
      <xdr:rowOff>123825</xdr:rowOff>
    </xdr:from>
    <xdr:to>
      <xdr:col>5</xdr:col>
      <xdr:colOff>542925</xdr:colOff>
      <xdr:row>14</xdr:row>
      <xdr:rowOff>123825</xdr:rowOff>
    </xdr:to>
    <xdr:sp macro="" textlink="">
      <xdr:nvSpPr>
        <xdr:cNvPr id="19" name="TextBox 18">
          <a:extLst>
            <a:ext uri="{FF2B5EF4-FFF2-40B4-BE49-F238E27FC236}">
              <a16:creationId xmlns:a16="http://schemas.microsoft.com/office/drawing/2014/main" id="{6270182E-4D71-A5DD-0A5C-E6C60CAC2C3E}"/>
            </a:ext>
          </a:extLst>
        </xdr:cNvPr>
        <xdr:cNvSpPr txBox="1"/>
      </xdr:nvSpPr>
      <xdr:spPr>
        <a:xfrm>
          <a:off x="1133032" y="1441819"/>
          <a:ext cx="1846521" cy="37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effectLst>
                <a:outerShdw blurRad="50800" dist="38100" dir="2700000" algn="tl" rotWithShape="0">
                  <a:prstClr val="black">
                    <a:alpha val="40000"/>
                  </a:prstClr>
                </a:outerShdw>
              </a:effectLst>
              <a:latin typeface="+mn-lt"/>
              <a:ea typeface="+mn-ea"/>
              <a:cs typeface="+mn-cs"/>
            </a:rPr>
            <a:t>Total</a:t>
          </a:r>
          <a:r>
            <a:rPr lang="en-US" sz="1800" b="1"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effectLst>
                <a:outerShdw blurRad="50800" dist="38100" dir="2700000" algn="tl" rotWithShape="0">
                  <a:prstClr val="black">
                    <a:alpha val="40000"/>
                  </a:prstClr>
                </a:outerShdw>
              </a:effectLst>
              <a:latin typeface="+mn-lt"/>
              <a:ea typeface="+mn-ea"/>
              <a:cs typeface="+mn-cs"/>
            </a:rPr>
            <a:t> Revenue</a:t>
          </a:r>
          <a:endParaRPr lang="en-US" sz="18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effectLst>
              <a:outerShdw blurRad="50800" dist="38100" dir="2700000" algn="tl" rotWithShape="0">
                <a:prstClr val="black">
                  <a:alpha val="40000"/>
                </a:prstClr>
              </a:outerShdw>
            </a:effectLst>
          </a:endParaRPr>
        </a:p>
        <a:p>
          <a:pPr algn="ctr"/>
          <a:endParaRPr lang="en-US" sz="18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effectLst>
              <a:outerShdw blurRad="50800" dist="38100" dir="2700000" algn="tl" rotWithShape="0">
                <a:prstClr val="black">
                  <a:alpha val="40000"/>
                </a:prstClr>
              </a:outerShdw>
            </a:effectLst>
          </a:endParaRPr>
        </a:p>
      </xdr:txBody>
    </xdr:sp>
    <xdr:clientData/>
  </xdr:twoCellAnchor>
  <xdr:twoCellAnchor>
    <xdr:from>
      <xdr:col>5</xdr:col>
      <xdr:colOff>714988</xdr:colOff>
      <xdr:row>13</xdr:row>
      <xdr:rowOff>5415</xdr:rowOff>
    </xdr:from>
    <xdr:to>
      <xdr:col>7</xdr:col>
      <xdr:colOff>542210</xdr:colOff>
      <xdr:row>14</xdr:row>
      <xdr:rowOff>107802</xdr:rowOff>
    </xdr:to>
    <xdr:sp macro="" textlink="">
      <xdr:nvSpPr>
        <xdr:cNvPr id="24" name="TextBox 23">
          <a:extLst>
            <a:ext uri="{FF2B5EF4-FFF2-40B4-BE49-F238E27FC236}">
              <a16:creationId xmlns:a16="http://schemas.microsoft.com/office/drawing/2014/main" id="{A9FC39B7-82AC-46F7-2CEE-0C94AF2C9431}"/>
            </a:ext>
          </a:extLst>
        </xdr:cNvPr>
        <xdr:cNvSpPr txBox="1"/>
      </xdr:nvSpPr>
      <xdr:spPr>
        <a:xfrm>
          <a:off x="4355655" y="2344332"/>
          <a:ext cx="2441305" cy="28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effectLst>
                <a:outerShdw blurRad="50800" dist="38100" dir="2700000" algn="tl" rotWithShape="0">
                  <a:prstClr val="black">
                    <a:alpha val="40000"/>
                  </a:prstClr>
                </a:outerShdw>
              </a:effectLst>
              <a:latin typeface="+mn-lt"/>
              <a:ea typeface="+mn-ea"/>
              <a:cs typeface="+mn-cs"/>
            </a:rPr>
            <a:t>Total Orders</a:t>
          </a:r>
        </a:p>
      </xdr:txBody>
    </xdr:sp>
    <xdr:clientData/>
  </xdr:twoCellAnchor>
  <xdr:twoCellAnchor>
    <xdr:from>
      <xdr:col>7</xdr:col>
      <xdr:colOff>321745</xdr:colOff>
      <xdr:row>11</xdr:row>
      <xdr:rowOff>32241</xdr:rowOff>
    </xdr:from>
    <xdr:to>
      <xdr:col>11</xdr:col>
      <xdr:colOff>165091</xdr:colOff>
      <xdr:row>16</xdr:row>
      <xdr:rowOff>18458</xdr:rowOff>
    </xdr:to>
    <xdr:sp macro="" textlink="">
      <xdr:nvSpPr>
        <xdr:cNvPr id="25" name="TextBox 24">
          <a:extLst>
            <a:ext uri="{FF2B5EF4-FFF2-40B4-BE49-F238E27FC236}">
              <a16:creationId xmlns:a16="http://schemas.microsoft.com/office/drawing/2014/main" id="{796438C8-6263-4BFB-A38A-379F1C462DDA}"/>
            </a:ext>
          </a:extLst>
        </xdr:cNvPr>
        <xdr:cNvSpPr txBox="1"/>
      </xdr:nvSpPr>
      <xdr:spPr>
        <a:xfrm>
          <a:off x="6576495" y="2011324"/>
          <a:ext cx="3208846" cy="88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effectLst>
                <a:outerShdw blurRad="50800" dist="38100" dir="2700000" algn="tl" rotWithShape="0">
                  <a:prstClr val="black">
                    <a:alpha val="40000"/>
                  </a:prstClr>
                </a:outerShdw>
              </a:effectLst>
              <a:latin typeface="+mn-lt"/>
              <a:ea typeface="+mn-ea"/>
              <a:cs typeface="+mn-cs"/>
            </a:rPr>
            <a:t>AOV</a:t>
          </a:r>
        </a:p>
      </xdr:txBody>
    </xdr:sp>
    <xdr:clientData/>
  </xdr:twoCellAnchor>
  <xdr:twoCellAnchor>
    <xdr:from>
      <xdr:col>11</xdr:col>
      <xdr:colOff>384101</xdr:colOff>
      <xdr:row>12</xdr:row>
      <xdr:rowOff>116899</xdr:rowOff>
    </xdr:from>
    <xdr:to>
      <xdr:col>14</xdr:col>
      <xdr:colOff>168989</xdr:colOff>
      <xdr:row>14</xdr:row>
      <xdr:rowOff>39369</xdr:rowOff>
    </xdr:to>
    <xdr:sp macro="" textlink="">
      <xdr:nvSpPr>
        <xdr:cNvPr id="26" name="TextBox 25">
          <a:extLst>
            <a:ext uri="{FF2B5EF4-FFF2-40B4-BE49-F238E27FC236}">
              <a16:creationId xmlns:a16="http://schemas.microsoft.com/office/drawing/2014/main" id="{7F3380DC-5027-40F9-B567-B4F868D143CC}"/>
            </a:ext>
          </a:extLst>
        </xdr:cNvPr>
        <xdr:cNvSpPr txBox="1"/>
      </xdr:nvSpPr>
      <xdr:spPr>
        <a:xfrm>
          <a:off x="10004351" y="2275899"/>
          <a:ext cx="1626388" cy="28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effectLst>
                <a:outerShdw blurRad="50800" dist="38100" dir="2700000" algn="tl" rotWithShape="0">
                  <a:prstClr val="black">
                    <a:alpha val="40000"/>
                  </a:prstClr>
                </a:outerShdw>
              </a:effectLst>
              <a:latin typeface="+mn-lt"/>
              <a:ea typeface="+mn-ea"/>
              <a:cs typeface="+mn-cs"/>
            </a:rPr>
            <a:t>Total Quantity</a:t>
          </a:r>
        </a:p>
      </xdr:txBody>
    </xdr:sp>
    <xdr:clientData/>
  </xdr:twoCellAnchor>
  <xdr:twoCellAnchor>
    <xdr:from>
      <xdr:col>15</xdr:col>
      <xdr:colOff>145257</xdr:colOff>
      <xdr:row>12</xdr:row>
      <xdr:rowOff>115007</xdr:rowOff>
    </xdr:from>
    <xdr:to>
      <xdr:col>18</xdr:col>
      <xdr:colOff>319916</xdr:colOff>
      <xdr:row>34</xdr:row>
      <xdr:rowOff>123824</xdr:rowOff>
    </xdr:to>
    <xdr:graphicFrame macro="">
      <xdr:nvGraphicFramePr>
        <xdr:cNvPr id="27" name="chart 26">
          <a:extLst>
            <a:ext uri="{FF2B5EF4-FFF2-40B4-BE49-F238E27FC236}">
              <a16:creationId xmlns:a16="http://schemas.microsoft.com/office/drawing/2014/main" id="{515F3709-4956-436F-933C-80CB49D70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63854</xdr:colOff>
      <xdr:row>12</xdr:row>
      <xdr:rowOff>103933</xdr:rowOff>
    </xdr:from>
    <xdr:to>
      <xdr:col>22</xdr:col>
      <xdr:colOff>553451</xdr:colOff>
      <xdr:row>34</xdr:row>
      <xdr:rowOff>171450</xdr:rowOff>
    </xdr:to>
    <xdr:graphicFrame macro="">
      <xdr:nvGraphicFramePr>
        <xdr:cNvPr id="28" name="chart 27">
          <a:extLst>
            <a:ext uri="{FF2B5EF4-FFF2-40B4-BE49-F238E27FC236}">
              <a16:creationId xmlns:a16="http://schemas.microsoft.com/office/drawing/2014/main" id="{BAC0428D-3D57-4017-8FFC-F7B4795CD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96181</xdr:colOff>
      <xdr:row>6</xdr:row>
      <xdr:rowOff>110756</xdr:rowOff>
    </xdr:from>
    <xdr:to>
      <xdr:col>26</xdr:col>
      <xdr:colOff>0</xdr:colOff>
      <xdr:row>9</xdr:row>
      <xdr:rowOff>143984</xdr:rowOff>
    </xdr:to>
    <xdr:sp macro="" textlink="">
      <xdr:nvSpPr>
        <xdr:cNvPr id="29" name="TextBox 28">
          <a:extLst>
            <a:ext uri="{FF2B5EF4-FFF2-40B4-BE49-F238E27FC236}">
              <a16:creationId xmlns:a16="http://schemas.microsoft.com/office/drawing/2014/main" id="{E81EDEC6-7430-4083-960E-FAF1FA8F8057}"/>
            </a:ext>
          </a:extLst>
        </xdr:cNvPr>
        <xdr:cNvSpPr txBox="1"/>
      </xdr:nvSpPr>
      <xdr:spPr>
        <a:xfrm>
          <a:off x="1935166" y="1242439"/>
          <a:ext cx="14002705" cy="599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effectLst>
                <a:outerShdw blurRad="50800" dist="38100" dir="2700000" algn="tl" rotWithShape="0">
                  <a:prstClr val="black">
                    <a:alpha val="40000"/>
                  </a:prstClr>
                </a:outerShdw>
              </a:effectLst>
              <a:latin typeface="+mn-lt"/>
              <a:ea typeface="+mn-ea"/>
              <a:cs typeface="+mn-cs"/>
            </a:rPr>
            <a:t>Sales Analytics Dashboard</a:t>
          </a:r>
          <a:endParaRPr lang="en-US" sz="32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effectLst>
              <a:outerShdw blurRad="50800" dist="38100" dir="2700000" algn="tl" rotWithShape="0">
                <a:prstClr val="black">
                  <a:alpha val="40000"/>
                </a:prstClr>
              </a:outerShdw>
            </a:effectLst>
          </a:endParaRPr>
        </a:p>
      </xdr:txBody>
    </xdr:sp>
    <xdr:clientData/>
  </xdr:twoCellAnchor>
  <xdr:twoCellAnchor editAs="oneCell">
    <xdr:from>
      <xdr:col>8</xdr:col>
      <xdr:colOff>431461</xdr:colOff>
      <xdr:row>36</xdr:row>
      <xdr:rowOff>21168</xdr:rowOff>
    </xdr:from>
    <xdr:to>
      <xdr:col>13</xdr:col>
      <xdr:colOff>355600</xdr:colOff>
      <xdr:row>41</xdr:row>
      <xdr:rowOff>232834</xdr:rowOff>
    </xdr:to>
    <mc:AlternateContent xmlns:mc="http://schemas.openxmlformats.org/markup-compatibility/2006" xmlns:a14="http://schemas.microsoft.com/office/drawing/2010/main">
      <mc:Choice Requires="a14">
        <xdr:graphicFrame macro="">
          <xdr:nvGraphicFramePr>
            <xdr:cNvPr id="54" name="customer_name">
              <a:extLst>
                <a:ext uri="{FF2B5EF4-FFF2-40B4-BE49-F238E27FC236}">
                  <a16:creationId xmlns:a16="http://schemas.microsoft.com/office/drawing/2014/main" id="{0AC302E7-494A-B6E3-56FD-C9FD729E7A5F}"/>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7803811" y="6774393"/>
              <a:ext cx="3372189" cy="16308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502216</xdr:colOff>
      <xdr:row>36</xdr:row>
      <xdr:rowOff>10584</xdr:rowOff>
    </xdr:from>
    <xdr:to>
      <xdr:col>19</xdr:col>
      <xdr:colOff>152399</xdr:colOff>
      <xdr:row>41</xdr:row>
      <xdr:rowOff>222250</xdr:rowOff>
    </xdr:to>
    <mc:AlternateContent xmlns:mc="http://schemas.openxmlformats.org/markup-compatibility/2006" xmlns:a14="http://schemas.microsoft.com/office/drawing/2010/main">
      <mc:Choice Requires="a14">
        <xdr:graphicFrame macro="">
          <xdr:nvGraphicFramePr>
            <xdr:cNvPr id="55" name="city">
              <a:extLst>
                <a:ext uri="{FF2B5EF4-FFF2-40B4-BE49-F238E27FC236}">
                  <a16:creationId xmlns:a16="http://schemas.microsoft.com/office/drawing/2014/main" id="{2AAE18DB-E251-CCFC-3EBF-B673E8A1BFD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322616" y="6763809"/>
              <a:ext cx="3307783" cy="16308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301171</xdr:colOff>
      <xdr:row>36</xdr:row>
      <xdr:rowOff>31750</xdr:rowOff>
    </xdr:from>
    <xdr:to>
      <xdr:col>26</xdr:col>
      <xdr:colOff>25400</xdr:colOff>
      <xdr:row>41</xdr:row>
      <xdr:rowOff>222249</xdr:rowOff>
    </xdr:to>
    <mc:AlternateContent xmlns:mc="http://schemas.openxmlformats.org/markup-compatibility/2006" xmlns:a14="http://schemas.microsoft.com/office/drawing/2010/main">
      <mc:Choice Requires="a14">
        <xdr:graphicFrame macro="">
          <xdr:nvGraphicFramePr>
            <xdr:cNvPr id="56" name="product_name">
              <a:extLst>
                <a:ext uri="{FF2B5EF4-FFF2-40B4-BE49-F238E27FC236}">
                  <a16:creationId xmlns:a16="http://schemas.microsoft.com/office/drawing/2014/main" id="{59368C3C-9F0E-670A-DAA3-C745F3C167ED}"/>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4779171" y="6784975"/>
              <a:ext cx="3991429" cy="1609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65314</xdr:colOff>
      <xdr:row>28</xdr:row>
      <xdr:rowOff>87540</xdr:rowOff>
    </xdr:from>
    <xdr:to>
      <xdr:col>26</xdr:col>
      <xdr:colOff>32657</xdr:colOff>
      <xdr:row>35</xdr:row>
      <xdr:rowOff>180975</xdr:rowOff>
    </xdr:to>
    <mc:AlternateContent xmlns:mc="http://schemas.openxmlformats.org/markup-compatibility/2006" xmlns:a14="http://schemas.microsoft.com/office/drawing/2010/main">
      <mc:Choice Requires="a14">
        <xdr:graphicFrame macro="">
          <xdr:nvGraphicFramePr>
            <xdr:cNvPr id="57" name="category">
              <a:extLst>
                <a:ext uri="{FF2B5EF4-FFF2-40B4-BE49-F238E27FC236}">
                  <a16:creationId xmlns:a16="http://schemas.microsoft.com/office/drawing/2014/main" id="{4F17C9E1-9EEA-5421-1AC8-EC53D53014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981714" y="5154840"/>
              <a:ext cx="1796143" cy="1417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37212</xdr:colOff>
      <xdr:row>21</xdr:row>
      <xdr:rowOff>163287</xdr:rowOff>
    </xdr:from>
    <xdr:to>
      <xdr:col>26</xdr:col>
      <xdr:colOff>27027</xdr:colOff>
      <xdr:row>28</xdr:row>
      <xdr:rowOff>1</xdr:rowOff>
    </xdr:to>
    <mc:AlternateContent xmlns:mc="http://schemas.openxmlformats.org/markup-compatibility/2006" xmlns:a14="http://schemas.microsoft.com/office/drawing/2010/main">
      <mc:Choice Requires="a14">
        <xdr:graphicFrame macro="">
          <xdr:nvGraphicFramePr>
            <xdr:cNvPr id="58" name="order_date (Month)">
              <a:extLst>
                <a:ext uri="{FF2B5EF4-FFF2-40B4-BE49-F238E27FC236}">
                  <a16:creationId xmlns:a16="http://schemas.microsoft.com/office/drawing/2014/main" id="{558F692D-82D9-320A-4BED-EAD575D7CBF1}"/>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6953612" y="3963762"/>
              <a:ext cx="1818615" cy="1103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10185</xdr:colOff>
      <xdr:row>12</xdr:row>
      <xdr:rowOff>41685</xdr:rowOff>
    </xdr:from>
    <xdr:to>
      <xdr:col>26</xdr:col>
      <xdr:colOff>0</xdr:colOff>
      <xdr:row>21</xdr:row>
      <xdr:rowOff>65315</xdr:rowOff>
    </xdr:to>
    <mc:AlternateContent xmlns:mc="http://schemas.openxmlformats.org/markup-compatibility/2006" xmlns:a14="http://schemas.microsoft.com/office/drawing/2010/main">
      <mc:Choice Requires="a14">
        <xdr:graphicFrame macro="">
          <xdr:nvGraphicFramePr>
            <xdr:cNvPr id="59" name="order_date">
              <a:extLst>
                <a:ext uri="{FF2B5EF4-FFF2-40B4-BE49-F238E27FC236}">
                  <a16:creationId xmlns:a16="http://schemas.microsoft.com/office/drawing/2014/main" id="{4640D3C3-F8E1-C2D3-A0B3-C4A8F6930D3D}"/>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6926585" y="2213385"/>
              <a:ext cx="1818615" cy="1652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306885</xdr:colOff>
      <xdr:row>8</xdr:row>
      <xdr:rowOff>2941</xdr:rowOff>
    </xdr:from>
    <xdr:to>
      <xdr:col>6</xdr:col>
      <xdr:colOff>528681</xdr:colOff>
      <xdr:row>22</xdr:row>
      <xdr:rowOff>79141</xdr:rowOff>
    </xdr:to>
    <xdr:graphicFrame macro="">
      <xdr:nvGraphicFramePr>
        <xdr:cNvPr id="4" name="chart">
          <a:extLst>
            <a:ext uri="{FF2B5EF4-FFF2-40B4-BE49-F238E27FC236}">
              <a16:creationId xmlns:a16="http://schemas.microsoft.com/office/drawing/2014/main" id="{26831CA5-C54F-4F94-0405-91B802739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368444</xdr:colOff>
      <xdr:row>33</xdr:row>
      <xdr:rowOff>61046</xdr:rowOff>
    </xdr:from>
    <xdr:to>
      <xdr:col>10</xdr:col>
      <xdr:colOff>851622</xdr:colOff>
      <xdr:row>47</xdr:row>
      <xdr:rowOff>137246</xdr:rowOff>
    </xdr:to>
    <xdr:graphicFrame macro="">
      <xdr:nvGraphicFramePr>
        <xdr:cNvPr id="5" name="Chart 4">
          <a:extLst>
            <a:ext uri="{FF2B5EF4-FFF2-40B4-BE49-F238E27FC236}">
              <a16:creationId xmlns:a16="http://schemas.microsoft.com/office/drawing/2014/main" id="{896AF23B-7C11-126B-23C8-FB05C6AF9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408922</xdr:colOff>
      <xdr:row>8</xdr:row>
      <xdr:rowOff>17033</xdr:rowOff>
    </xdr:from>
    <xdr:to>
      <xdr:col>15</xdr:col>
      <xdr:colOff>303333</xdr:colOff>
      <xdr:row>28</xdr:row>
      <xdr:rowOff>95956</xdr:rowOff>
    </xdr:to>
    <xdr:graphicFrame macro="">
      <xdr:nvGraphicFramePr>
        <xdr:cNvPr id="6" name="Chart 5">
          <a:extLst>
            <a:ext uri="{FF2B5EF4-FFF2-40B4-BE49-F238E27FC236}">
              <a16:creationId xmlns:a16="http://schemas.microsoft.com/office/drawing/2014/main" id="{4C87C733-6545-1AF7-B2A1-43D11D1F8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43030</xdr:colOff>
      <xdr:row>7</xdr:row>
      <xdr:rowOff>155579</xdr:rowOff>
    </xdr:from>
    <xdr:to>
      <xdr:col>10</xdr:col>
      <xdr:colOff>974236</xdr:colOff>
      <xdr:row>28</xdr:row>
      <xdr:rowOff>78991</xdr:rowOff>
    </xdr:to>
    <xdr:graphicFrame macro="">
      <xdr:nvGraphicFramePr>
        <xdr:cNvPr id="7" name="Chart 6">
          <a:extLst>
            <a:ext uri="{FF2B5EF4-FFF2-40B4-BE49-F238E27FC236}">
              <a16:creationId xmlns:a16="http://schemas.microsoft.com/office/drawing/2014/main" id="{7D0BCA39-1E57-54CA-42EF-0374FBA09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mobi lap" refreshedDate="46153.542978587961" backgroundQuery="1" createdVersion="6" refreshedVersion="6" minRefreshableVersion="3" recordCount="0" supportSubquery="1" supportAdvancedDrill="1">
  <cacheSource type="external" connectionId="7"/>
  <cacheFields count="3">
    <cacheField name="[customers].[customer_name].[customer_name]" caption="customer_name" numFmtId="0" hierarchy="1" level="1">
      <sharedItems count="3">
        <s v="Ahmed"/>
        <s v="Omar"/>
        <s v="Sara"/>
      </sharedItems>
    </cacheField>
    <cacheField name="[Measures].[Total_Revenue]" caption="Total_Revenue" numFmtId="0" hierarchy="14" level="32767"/>
    <cacheField name="[orders].[order_date].[order_date]" caption="order_date" numFmtId="0" hierarchy="7" level="1">
      <sharedItems containsSemiMixedTypes="0" containsNonDate="0" containsString="0"/>
    </cacheField>
  </cacheFields>
  <cacheHierarchies count="25">
    <cacheHierarchy uniqueName="[customers].[customer_id]" caption="customer_id" attribute="1" defaultMemberUniqueName="[customers].[customer_id].[All]" allUniqueName="[customers].[customer_id].[All]" dimensionUniqueName="[customers]" displayFolder="" count="2"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Total_Revenue]" caption="Total_Revenue" measure="1" displayFolder="" measureGroup="orders" count="0" oneField="1">
      <fieldsUsage count="1">
        <fieldUsage x="1"/>
      </fieldsUsage>
    </cacheHierarchy>
    <cacheHierarchy uniqueName="[Measures].[Total_Quantity]" caption="Total_Quantity" measure="1" displayFolder="" measureGroup="orders" count="0"/>
    <cacheHierarchy uniqueName="[Measures].[Total_Orders]" caption="Total_Orders" measure="1" displayFolder="" measureGroup="orders" count="0"/>
    <cacheHierarchy uniqueName="[Measures].[Average_order_value]" caption="Average_order_val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mobi lap" refreshedDate="46153.542978819445" backgroundQuery="1" createdVersion="8" refreshedVersion="6" minRefreshableVersion="3" recordCount="0" supportSubquery="1" supportAdvancedDrill="1">
  <cacheSource type="external" connectionId="7"/>
  <cacheFields count="2">
    <cacheField name="[Measures].[Average_order_value]" caption="Average_order_value" numFmtId="0" hierarchy="17" level="32767"/>
    <cacheField name="[orders].[order_date].[order_date]" caption="order_date" numFmtId="0" hierarchy="7" level="1">
      <sharedItems containsSemiMixedTypes="0" containsNonDate="0" containsString="0"/>
    </cacheField>
  </cacheFields>
  <cacheHierarchies count="2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Revenue]" caption="Total_Revenue" measure="1" displayFolder="" measureGroup="orders" count="0"/>
    <cacheHierarchy uniqueName="[Measures].[Total_Quantity]" caption="Total_Quantity" measure="1" displayFolder="" measureGroup="orders" count="0"/>
    <cacheHierarchy uniqueName="[Measures].[Total_Orders]" caption="Total_Orders" measure="1" displayFolder="" measureGroup="orders" count="0"/>
    <cacheHierarchy uniqueName="[Measures].[Average_order_value]" caption="Average_order_value" measure="1" displayFolder="" measureGroup="orders" count="0" oneField="1">
      <fieldsUsage count="1">
        <fieldUsage x="0"/>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mobi lap" refreshedDate="46153.542979282407" backgroundQuery="1" createdVersion="6" refreshedVersion="6" minRefreshableVersion="3" recordCount="0" supportSubquery="1" supportAdvancedDrill="1">
  <cacheSource type="external" connectionId="7"/>
  <cacheFields count="3">
    <cacheField name="[products].[product_name].[product_name]" caption="product_name" numFmtId="0" hierarchy="10" level="1">
      <sharedItems count="3">
        <s v="Headphones"/>
        <s v="Laptop"/>
        <s v="Phone"/>
      </sharedItems>
    </cacheField>
    <cacheField name="[Measures].[Total_Revenue]" caption="Total_Revenue" numFmtId="0" hierarchy="14" level="32767"/>
    <cacheField name="[orders].[order_date].[order_date]" caption="order_date" numFmtId="0" hierarchy="7" level="1">
      <sharedItems containsSemiMixedTypes="0" containsNonDate="0" containsString="0"/>
    </cacheField>
  </cacheFields>
  <cacheHierarchies count="2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Revenue]" caption="Total_Revenue" measure="1" displayFolder="" measureGroup="orders" count="0" oneField="1">
      <fieldsUsage count="1">
        <fieldUsage x="1"/>
      </fieldsUsage>
    </cacheHierarchy>
    <cacheHierarchy uniqueName="[Measures].[Total_Quantity]" caption="Total_Quantity" measure="1" displayFolder="" measureGroup="orders" count="0"/>
    <cacheHierarchy uniqueName="[Measures].[Total_Orders]" caption="Total_Orders" measure="1" displayFolder="" measureGroup="orders" count="0"/>
    <cacheHierarchy uniqueName="[Measures].[Average_order_value]" caption="Average_order_val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obi lap" refreshedDate="46153.542979861108" backgroundQuery="1" createdVersion="6" refreshedVersion="6" minRefreshableVersion="3" recordCount="0" supportSubquery="1" supportAdvancedDrill="1">
  <cacheSource type="external" connectionId="7"/>
  <cacheFields count="3">
    <cacheField name="[products].[category].[category]" caption="category" numFmtId="0" hierarchy="11" level="1">
      <sharedItems count="2">
        <s v="Accessories"/>
        <s v="Electronics"/>
      </sharedItems>
    </cacheField>
    <cacheField name="[Measures].[Total_Revenue]" caption="Total_Revenue" numFmtId="0" hierarchy="14" level="32767"/>
    <cacheField name="[orders].[order_date].[order_date]" caption="order_date" numFmtId="0" hierarchy="7" level="1">
      <sharedItems containsSemiMixedTypes="0" containsNonDate="0" containsString="0"/>
    </cacheField>
  </cacheFields>
  <cacheHierarchies count="2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Revenue]" caption="Total_Revenue" measure="1" displayFolder="" measureGroup="orders" count="0" oneField="1">
      <fieldsUsage count="1">
        <fieldUsage x="1"/>
      </fieldsUsage>
    </cacheHierarchy>
    <cacheHierarchy uniqueName="[Measures].[Total_Quantity]" caption="Total_Quantity" measure="1" displayFolder="" measureGroup="orders" count="0"/>
    <cacheHierarchy uniqueName="[Measures].[Total_Orders]" caption="Total_Orders" measure="1" displayFolder="" measureGroup="orders" count="0"/>
    <cacheHierarchy uniqueName="[Measures].[Average_order_value]" caption="Average_order_val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obi lap" refreshedDate="46153.542980439815" backgroundQuery="1" createdVersion="6" refreshedVersion="6" minRefreshableVersion="3" recordCount="0" supportSubquery="1" supportAdvancedDrill="1">
  <cacheSource type="external" connectionId="7"/>
  <cacheFields count="3">
    <cacheField name="[orders].[order_date].[order_date]" caption="order_date" numFmtId="0" hierarchy="7" level="1">
      <sharedItems containsSemiMixedTypes="0" containsNonDate="0" containsDate="1" containsString="0" count="5">
        <d v="2026-01-10T00:00:00"/>
        <d v="2026-01-15T00:00:00"/>
        <d v="2026-02-05T00:00:00"/>
        <d v="2026-02-12T00:00:00"/>
        <d v="2026-03-01T00:00:00"/>
      </sharedItems>
    </cacheField>
    <cacheField name="[orders].[order_date (Month)].[order_date (Month)]" caption="order_date (Month)" numFmtId="0" hierarchy="8" level="1">
      <sharedItems count="3">
        <s v="Jan"/>
        <s v="Feb"/>
        <s v="Mar"/>
      </sharedItems>
    </cacheField>
    <cacheField name="[Measures].[Total_Revenue]" caption="Total_Revenue" numFmtId="0" hierarchy="14" level="32767"/>
  </cacheFields>
  <cacheHierarchies count="25">
    <cacheHierarchy uniqueName="[customers].[customer_id]" caption="customer_id" attribute="1" defaultMemberUniqueName="[customers].[customer_id].[All]" allUniqueName="[customers].[customer_id].[All]" dimensionUniqueName="[customers]" displayFolder="" count="2"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0"/>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Total_Revenue]" caption="Total_Revenue" measure="1" displayFolder="" measureGroup="orders" count="0" oneField="1">
      <fieldsUsage count="1">
        <fieldUsage x="2"/>
      </fieldsUsage>
    </cacheHierarchy>
    <cacheHierarchy uniqueName="[Measures].[Total_Quantity]" caption="Total_Quantity" measure="1" displayFolder="" measureGroup="orders" count="0"/>
    <cacheHierarchy uniqueName="[Measures].[Total_Orders]" caption="Total_Orders" measure="1" displayFolder="" measureGroup="orders" count="0"/>
    <cacheHierarchy uniqueName="[Measures].[Average_order_value]" caption="Average_order_val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mobi lap" refreshedDate="46153.542980671293" backgroundQuery="1" createdVersion="8" refreshedVersion="6" minRefreshableVersion="3" recordCount="0" supportSubquery="1" supportAdvancedDrill="1">
  <cacheSource type="external" connectionId="7"/>
  <cacheFields count="2">
    <cacheField name="[Measures].[Total_Orders]" caption="Total_Orders" numFmtId="0" hierarchy="16" level="32767"/>
    <cacheField name="[orders].[order_date].[order_date]" caption="order_date" numFmtId="0" hierarchy="7" level="1">
      <sharedItems containsSemiMixedTypes="0" containsNonDate="0" containsString="0"/>
    </cacheField>
  </cacheFields>
  <cacheHierarchies count="2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Revenue]" caption="Total_Revenue" measure="1" displayFolder="" measureGroup="orders" count="0"/>
    <cacheHierarchy uniqueName="[Measures].[Total_Quantity]" caption="Total_Quantity" measure="1" displayFolder="" measureGroup="orders" count="0"/>
    <cacheHierarchy uniqueName="[Measures].[Total_Orders]" caption="Total_Orders" measure="1" displayFolder="" measureGroup="orders" count="0" oneField="1">
      <fieldsUsage count="1">
        <fieldUsage x="0"/>
      </fieldsUsage>
    </cacheHierarchy>
    <cacheHierarchy uniqueName="[Measures].[Average_order_value]" caption="Average_order_val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mobi lap" refreshedDate="46153.542981018516" backgroundQuery="1" createdVersion="8" refreshedVersion="6" minRefreshableVersion="3" recordCount="0" supportSubquery="1" supportAdvancedDrill="1">
  <cacheSource type="external" connectionId="7"/>
  <cacheFields count="2">
    <cacheField name="[Measures].[Total_Quantity]" caption="Total_Quantity" numFmtId="0" hierarchy="15" level="32767"/>
    <cacheField name="[orders].[order_date].[order_date]" caption="order_date" numFmtId="0" hierarchy="7" level="1">
      <sharedItems containsSemiMixedTypes="0" containsNonDate="0" containsString="0"/>
    </cacheField>
  </cacheFields>
  <cacheHierarchies count="2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Revenue]" caption="Total_Revenue" measure="1" displayFolder="" measureGroup="orders" count="0"/>
    <cacheHierarchy uniqueName="[Measures].[Total_Quantity]" caption="Total_Quantity" measure="1" displayFolder="" measureGroup="orders" count="0" oneField="1">
      <fieldsUsage count="1">
        <fieldUsage x="0"/>
      </fieldsUsage>
    </cacheHierarchy>
    <cacheHierarchy uniqueName="[Measures].[Total_Orders]" caption="Total_Orders" measure="1" displayFolder="" measureGroup="orders" count="0"/>
    <cacheHierarchy uniqueName="[Measures].[Average_order_value]" caption="Average_order_val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mobi lap" refreshedDate="46153.542981134262" backgroundQuery="1" createdVersion="8" refreshedVersion="6" minRefreshableVersion="3" recordCount="0" supportSubquery="1" supportAdvancedDrill="1">
  <cacheSource type="external" connectionId="7"/>
  <cacheFields count="2">
    <cacheField name="[Measures].[Total_Revenue]" caption="Total_Revenue" numFmtId="0" hierarchy="14" level="32767"/>
    <cacheField name="[orders].[order_date].[order_date]" caption="order_date" numFmtId="0" hierarchy="7" level="1">
      <sharedItems containsSemiMixedTypes="0" containsNonDate="0" containsString="0"/>
    </cacheField>
  </cacheFields>
  <cacheHierarchies count="2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Revenue]" caption="Total_Revenue" measure="1" displayFolder="" measureGroup="orders" count="0" oneField="1">
      <fieldsUsage count="1">
        <fieldUsage x="0"/>
      </fieldsUsage>
    </cacheHierarchy>
    <cacheHierarchy uniqueName="[Measures].[Total_Quantity]" caption="Total_Quantity" measure="1" displayFolder="" measureGroup="orders" count="0"/>
    <cacheHierarchy uniqueName="[Measures].[Total_Orders]" caption="Total_Orders" measure="1" displayFolder="" measureGroup="orders" count="0"/>
    <cacheHierarchy uniqueName="[Measures].[Average_order_value]" caption="Average_order_val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Nagi Mohamed" refreshedDate="46152.90506041667" backgroundQuery="1" createdVersion="3" refreshedVersion="8"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2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Revenue]" caption="Total_Revenue" measure="1" displayFolder="" measureGroup="orders" count="0"/>
    <cacheHierarchy uniqueName="[Measures].[Total_Quantity]" caption="Total_Quantity" measure="1" displayFolder="" measureGroup="orders" count="0"/>
    <cacheHierarchy uniqueName="[Measures].[Total_Orders]" caption="Total_Orders" measure="1" displayFolder="" measureGroup="orders" count="0"/>
    <cacheHierarchy uniqueName="[Measures].[Average_order_value]" caption="Average_order_val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9637106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AOV" cacheId="1" applyNumberFormats="0" applyBorderFormats="0" applyFontFormats="0" applyPatternFormats="0" applyAlignmentFormats="0" applyWidthHeightFormats="1" dataCaption="Values" tag="40f66a78-c6d0-457e-91b5-86ddf7fe02e0" updatedVersion="6" minRefreshableVersion="3" useAutoFormatting="1" itemPrintTitles="1" createdVersion="8" indent="0" outline="1" outlineData="1" multipleFieldFilters="0">
  <location ref="P38:P39"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fld="0" subtotal="count" baseField="0" baseItem="0"/>
  </dataField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2.xml><?xml version="1.0" encoding="utf-8"?>
<pivotTableDefinition xmlns="http://schemas.openxmlformats.org/spreadsheetml/2006/main" name="Revenue by Category" cacheId="3" applyNumberFormats="0" applyBorderFormats="0" applyFontFormats="0" applyPatternFormats="0" applyAlignmentFormats="0" applyWidthHeightFormats="1" dataCaption="Values" tag="c49e2e77-c47e-422f-83d1-ec8d45f38bc1" updatedVersion="6" minRefreshableVersion="3" useAutoFormatting="1" itemPrintTitles="1" createdVersion="6" indent="0" outline="1" outlineData="1" multipleFieldFilters="0" chartFormat="7">
  <location ref="I3:J6" firstHeaderRow="1" firstDataRow="1" firstDataCol="1"/>
  <pivotFields count="3">
    <pivotField axis="axisRow"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3">
    <i>
      <x v="1"/>
    </i>
    <i>
      <x/>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Lst>
</pivotTableDefinition>
</file>

<file path=xl/pivotTables/pivotTable3.xml><?xml version="1.0" encoding="utf-8"?>
<pivotTableDefinition xmlns="http://schemas.openxmlformats.org/spreadsheetml/2006/main" name="Total Orders" cacheId="5" applyNumberFormats="0" applyBorderFormats="0" applyFontFormats="0" applyPatternFormats="0" applyAlignmentFormats="0" applyWidthHeightFormats="1" dataCaption="Values" tag="5627d0ac-2f03-41bb-808e-060b92644050" updatedVersion="6" minRefreshableVersion="3" useAutoFormatting="1" itemPrintTitles="1" createdVersion="8" indent="0" outline="1" outlineData="1" multipleFieldFilters="0">
  <location ref="N38:N39"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fld="0" subtotal="count" baseField="0" baseItem="0"/>
  </dataField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4.xml><?xml version="1.0" encoding="utf-8"?>
<pivotTableDefinition xmlns="http://schemas.openxmlformats.org/spreadsheetml/2006/main" name="Top Customers" cacheId="0" applyNumberFormats="0" applyBorderFormats="0" applyFontFormats="0" applyPatternFormats="0" applyAlignmentFormats="0" applyWidthHeightFormats="1" dataCaption="Values" tag="ff50ae4b-aa24-4d8c-a6fc-96e3e67a45ea" updatedVersion="6" minRefreshableVersion="3" useAutoFormatting="1" subtotalHiddenItems="1" itemPrintTitles="1" createdVersion="6" indent="0" outline="1" outlineData="1" multipleFieldFilters="0" chartFormat="8">
  <location ref="B35:C39" firstHeaderRow="1" firstDataRow="1" firstDataCol="1"/>
  <pivotFields count="3">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Lst>
</pivotTableDefinition>
</file>

<file path=xl/pivotTables/pivotTable5.xml><?xml version="1.0" encoding="utf-8"?>
<pivotTableDefinition xmlns="http://schemas.openxmlformats.org/spreadsheetml/2006/main" name="Best Selling Product" cacheId="2" applyNumberFormats="0" applyBorderFormats="0" applyFontFormats="0" applyPatternFormats="0" applyAlignmentFormats="0" applyWidthHeightFormats="1" dataCaption="Values" tag="544a3d63-e28f-4640-ab82-c7d961be8a15" updatedVersion="6" minRefreshableVersion="3" useAutoFormatting="1" itemPrintTitles="1" createdVersion="6" indent="0" outline="1" outlineData="1" multipleFieldFilters="0" chartFormat="28">
  <location ref="B3:C7" firstHeaderRow="1" firstDataRow="1" firstDataCol="1"/>
  <pivotFields count="3">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4">
    <i>
      <x v="1"/>
    </i>
    <i>
      <x v="2"/>
    </i>
    <i>
      <x/>
    </i>
    <i t="grand">
      <x/>
    </i>
  </rowItems>
  <colItems count="1">
    <i/>
  </colItems>
  <dataFields count="1">
    <dataField fld="1" subtotal="count" baseField="0"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Lst>
</pivotTableDefinition>
</file>

<file path=xl/pivotTables/pivotTable6.xml><?xml version="1.0" encoding="utf-8"?>
<pivotTableDefinition xmlns="http://schemas.openxmlformats.org/spreadsheetml/2006/main" name="Total Quantity" cacheId="6" applyNumberFormats="0" applyBorderFormats="0" applyFontFormats="0" applyPatternFormats="0" applyAlignmentFormats="0" applyWidthHeightFormats="1" dataCaption="Values" tag="da17a0e6-0415-464d-968e-bda1ae86619b" updatedVersion="6" minRefreshableVersion="3" useAutoFormatting="1" itemPrintTitles="1" createdVersion="8" indent="0" outline="1" outlineData="1" multipleFieldFilters="0">
  <location ref="P34:P35"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fld="0" subtotal="count" baseField="0" baseItem="0"/>
  </dataField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7.xml><?xml version="1.0" encoding="utf-8"?>
<pivotTableDefinition xmlns="http://schemas.openxmlformats.org/spreadsheetml/2006/main" name="Total Revenue" cacheId="7" applyNumberFormats="0" applyBorderFormats="0" applyFontFormats="0" applyPatternFormats="0" applyAlignmentFormats="0" applyWidthHeightFormats="1" dataCaption="Values" tag="d691305c-5cda-4536-b772-671dc62e213b" updatedVersion="6" minRefreshableVersion="3" useAutoFormatting="1" itemPrintTitles="1" createdVersion="8" indent="0" outline="1" outlineData="1" multipleFieldFilters="0">
  <location ref="N34:N35"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fld="0" subtotal="count" baseField="0" baseItem="0"/>
  </dataField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pivotTables/pivotTable8.xml><?xml version="1.0" encoding="utf-8"?>
<pivotTableDefinition xmlns="http://schemas.openxmlformats.org/spreadsheetml/2006/main" name="Revenue Per Month" cacheId="4" applyNumberFormats="0" applyBorderFormats="0" applyFontFormats="0" applyPatternFormats="0" applyAlignmentFormats="0" applyWidthHeightFormats="1" dataCaption="Values" tag="7253b62e-d3da-4065-904d-9cc11d1a12f8" updatedVersion="6" minRefreshableVersion="3" useAutoFormatting="1" subtotalHiddenItems="1" itemPrintTitles="1" createdVersion="6" indent="0" outline="1" outlineData="1" multipleFieldFilters="0" chartFormat="5">
  <location ref="N3:O7" firstHeaderRow="1" firstDataRow="1" firstDataCol="1"/>
  <pivotFields count="3">
    <pivotField axis="axisRow" allDrilled="1" showAll="0" dataSourceSort="1" defaultAttributeDrillState="1">
      <items count="6">
        <item x="0"/>
        <item x="1"/>
        <item x="2"/>
        <item x="3"/>
        <item x="4"/>
        <item t="default"/>
      </items>
    </pivotField>
    <pivotField axis="axisRow" allDrilled="1" showAll="0" dataSourceSort="1">
      <items count="4">
        <item x="0" e="0"/>
        <item x="1" e="0"/>
        <item x="2" e="0"/>
        <item t="default"/>
      </items>
    </pivotField>
    <pivotField dataField="1" showAll="0"/>
  </pivotFields>
  <rowFields count="2">
    <field x="1"/>
    <field x="0"/>
  </rowFields>
  <rowItems count="4">
    <i>
      <x/>
    </i>
    <i>
      <x v="1"/>
    </i>
    <i>
      <x v="2"/>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queryTables/queryTable1.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4">
    <queryTableFields count="3">
      <queryTableField id="1" name="customer_id" tableColumnId="7"/>
      <queryTableField id="2" name="customer_name" tableColumnId="8"/>
      <queryTableField id="3" name="city" tableColumnId="9"/>
    </queryTableFields>
  </queryTableRefresh>
</queryTable>
</file>

<file path=xl/queryTables/queryTable2.xml><?xml version="1.0" encoding="utf-8"?>
<queryTable xmlns="http://schemas.openxmlformats.org/spreadsheetml/2006/main" name="ExternalData_1" connectionId="5" autoFormatId="0" applyNumberFormats="0" applyBorderFormats="0" applyFontFormats="1" applyPatternFormats="1" applyAlignmentFormats="0" applyWidthHeightFormats="0">
  <queryTableRefresh preserveSortFilterLayout="0" nextId="6">
    <queryTableFields count="5">
      <queryTableField id="1" name="order_id" tableColumnId="11"/>
      <queryTableField id="2" name="customer_id" tableColumnId="12"/>
      <queryTableField id="3" name="product_id" tableColumnId="13"/>
      <queryTableField id="4" name="quantity" tableColumnId="14"/>
      <queryTableField id="5" name="order_date" tableColumnId="15"/>
    </queryTableFields>
  </queryTableRefresh>
</queryTable>
</file>

<file path=xl/queryTables/queryTable3.xml><?xml version="1.0" encoding="utf-8"?>
<queryTable xmlns="http://schemas.openxmlformats.org/spreadsheetml/2006/main" name="ExternalData_1" connectionId="6" autoFormatId="0" applyNumberFormats="0" applyBorderFormats="0" applyFontFormats="1" applyPatternFormats="1" applyAlignmentFormats="0" applyWidthHeightFormats="0">
  <queryTableRefresh preserveSortFilterLayout="0" nextId="5">
    <queryTableFields count="4">
      <queryTableField id="1" name="product_id" tableColumnId="9"/>
      <queryTableField id="2" name="product_name" tableColumnId="10"/>
      <queryTableField id="3" name="category" tableColumnId="11"/>
      <queryTableField id="4" name="pric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name" sourceName="[customers].[customer_name]">
  <pivotTables>
    <pivotTable tabId="7" name="Top Customers"/>
    <pivotTable tabId="7" name="AOV"/>
    <pivotTable tabId="7" name="Best Selling Product"/>
    <pivotTable tabId="7" name="Revenue by Category"/>
    <pivotTable tabId="7" name="Revenue Per Month"/>
    <pivotTable tabId="7" name="Total Orders"/>
    <pivotTable tabId="7" name="Total Quantity"/>
    <pivotTable tabId="7" name="Total Revenue"/>
  </pivotTables>
  <data>
    <olap pivotCacheId="963710659">
      <levels count="2">
        <level uniqueName="[customers].[customer_name].[(All)]" sourceCaption="(All)" count="0"/>
        <level uniqueName="[customers].[customer_name].[customer_name]" sourceCaption="customer_name" count="3">
          <ranges>
            <range startItem="0">
              <i n="[customers].[customer_name].&amp;[Ahmed]" c="Ahmed"/>
              <i n="[customers].[customer_name].&amp;[Omar]" c="Omar"/>
              <i n="[customers].[customer_name].&amp;[Sara]" c="Sara"/>
            </range>
          </ranges>
        </level>
      </levels>
      <selections count="1">
        <selection n="[customers].[customer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ustomers].[city]">
  <pivotTables>
    <pivotTable tabId="7" name="Top Customers"/>
    <pivotTable tabId="7" name="AOV"/>
    <pivotTable tabId="7" name="Best Selling Product"/>
    <pivotTable tabId="7" name="Revenue by Category"/>
    <pivotTable tabId="7" name="Revenue Per Month"/>
    <pivotTable tabId="7" name="Total Orders"/>
    <pivotTable tabId="7" name="Total Quantity"/>
    <pivotTable tabId="7" name="Total Revenue"/>
  </pivotTables>
  <data>
    <olap pivotCacheId="963710659">
      <levels count="2">
        <level uniqueName="[customers].[city].[(All)]" sourceCaption="(All)" count="0"/>
        <level uniqueName="[customers].[city].[city]" sourceCaption="city" count="3">
          <ranges>
            <range startItem="0">
              <i n="[customers].[city].&amp;[Alex]" c="Alex"/>
              <i n="[customers].[city].&amp;[Cairo]" c="Cairo"/>
              <i n="[customers].[city].&amp;[Giza]" c="Giza"/>
            </range>
          </ranges>
        </level>
      </levels>
      <selections count="1">
        <selection n="[customer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name" sourceName="[products].[product_name]">
  <pivotTables>
    <pivotTable tabId="7" name="Top Customers"/>
    <pivotTable tabId="7" name="AOV"/>
    <pivotTable tabId="7" name="Best Selling Product"/>
    <pivotTable tabId="7" name="Revenue by Category"/>
    <pivotTable tabId="7" name="Revenue Per Month"/>
    <pivotTable tabId="7" name="Total Orders"/>
    <pivotTable tabId="7" name="Total Quantity"/>
    <pivotTable tabId="7" name="Total Revenue"/>
  </pivotTables>
  <data>
    <olap pivotCacheId="963710659">
      <levels count="2">
        <level uniqueName="[products].[product_name].[(All)]" sourceCaption="(All)" count="0"/>
        <level uniqueName="[products].[product_name].[product_name]" sourceCaption="product_name" count="3">
          <ranges>
            <range startItem="0">
              <i n="[products].[product_name].&amp;[Headphones]" c="Headphones"/>
              <i n="[products].[product_name].&amp;[Laptop]" c="Laptop"/>
              <i n="[products].[product_name].&amp;[Phone]" c="Phone"/>
            </range>
          </ranges>
        </level>
      </levels>
      <selections count="1">
        <selection n="[products].[product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products].[category]">
  <pivotTables>
    <pivotTable tabId="7" name="Top Customers"/>
    <pivotTable tabId="7" name="AOV"/>
    <pivotTable tabId="7" name="Best Selling Product"/>
    <pivotTable tabId="7" name="Revenue by Category"/>
    <pivotTable tabId="7" name="Revenue Per Month"/>
    <pivotTable tabId="7" name="Total Orders"/>
    <pivotTable tabId="7" name="Total Quantity"/>
    <pivotTable tabId="7" name="Total Revenue"/>
  </pivotTables>
  <data>
    <olap pivotCacheId="963710659">
      <levels count="2">
        <level uniqueName="[products].[category].[(All)]" sourceCaption="(All)" count="0"/>
        <level uniqueName="[products].[category].[category]" sourceCaption="category" count="2">
          <ranges>
            <range startItem="0">
              <i n="[products].[category].&amp;[Accessories]" c="Accessories"/>
              <i n="[products].[category].&amp;[Electronics]" c="Electronics"/>
            </range>
          </ranges>
        </level>
      </levels>
      <selections count="1">
        <selection n="[product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order_date__Month" sourceName="[orders].[order_date (Month)]">
  <pivotTables>
    <pivotTable tabId="7" name="Top Customers"/>
    <pivotTable tabId="7" name="AOV"/>
    <pivotTable tabId="7" name="Best Selling Product"/>
    <pivotTable tabId="7" name="Revenue by Category"/>
    <pivotTable tabId="7" name="Total Orders"/>
    <pivotTable tabId="7" name="Total Quantity"/>
    <pivotTable tabId="7" name="Total Revenue"/>
  </pivotTables>
  <data>
    <olap pivotCacheId="963710659">
      <levels count="2">
        <level uniqueName="[orders].[order_date (Month)].[(All)]" sourceCaption="(All)" count="0"/>
        <level uniqueName="[orders].[order_date (Month)].[order_date (Month)]" sourceCaption="order_date (Month)" count="3">
          <ranges>
            <range startItem="0">
              <i n="[orders].[order_date (Month)].&amp;[Jan]" c="Jan"/>
              <i n="[orders].[order_date (Month)].&amp;[Feb]" c="Feb"/>
              <i n="[orders].[order_date (Month)].&amp;[Mar]" c="Mar"/>
            </range>
          </ranges>
        </level>
      </levels>
      <selections count="1">
        <selection n="[orders].[order_date (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order_date" sourceName="[orders].[order_date]">
  <pivotTables>
    <pivotTable tabId="7" name="Top Customers"/>
    <pivotTable tabId="7" name="AOV"/>
    <pivotTable tabId="7" name="Best Selling Product"/>
    <pivotTable tabId="7" name="Revenue by Category"/>
    <pivotTable tabId="7" name="Revenue Per Month"/>
    <pivotTable tabId="7" name="Total Orders"/>
    <pivotTable tabId="7" name="Total Quantity"/>
    <pivotTable tabId="7" name="Total Revenue"/>
  </pivotTables>
  <data>
    <olap pivotCacheId="963710659">
      <levels count="2">
        <level uniqueName="[orders].[order_date].[(All)]" sourceCaption="(All)" count="0"/>
        <level uniqueName="[orders].[order_date].[order_date]" sourceCaption="order_date" count="5">
          <ranges>
            <range startItem="0">
              <i n="[orders].[order_date].&amp;[2026-01-10T00:00:00]" c="2026-01-10"/>
              <i n="[orders].[order_date].&amp;[2026-01-15T00:00:00]" c="2026-01-15"/>
              <i n="[orders].[order_date].&amp;[2026-02-05T00:00:00]" c="2026-02-05"/>
              <i n="[orders].[order_date].&amp;[2026-02-12T00:00:00]" c="2026-02-12"/>
              <i n="[orders].[order_date].&amp;[2026-03-01T00:00:00]" c="2026-03-01"/>
            </range>
          </ranges>
        </level>
      </levels>
      <selections count="1">
        <selection n="[orders].[order_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_name" cache="Slicer_customer_name" caption="customer_name" level="1" rowHeight="241300"/>
  <slicer name="city" cache="Slicer_city" caption="city" level="1" rowHeight="241300"/>
  <slicer name="product_name" cache="Slicer_product_name" caption="product_name" level="1" rowHeight="241300"/>
  <slicer name="category" cache="Slicer_category" caption="category" level="1" rowHeight="241300"/>
  <slicer name="order_date (Month)" cache="Slicer_order_date__Month" caption="order_date (Month)" level="1" rowHeight="241300"/>
  <slicer name="order_date" cache="Slicer_order_date" caption="order_dat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4" name="customers" displayName="customers" ref="A1:C4" tableType="queryTable" totalsRowShown="0">
  <autoFilter ref="A1:C4"/>
  <tableColumns count="3">
    <tableColumn id="7" uniqueName="7" name="customer_id" queryTableFieldId="1" dataDxfId="11"/>
    <tableColumn id="8" uniqueName="8" name="customer_name" queryTableFieldId="2" dataDxfId="10"/>
    <tableColumn id="9" uniqueName="9" name="city" queryTableFieldId="3" dataDxfId="9"/>
  </tableColumns>
  <tableStyleInfo name="TableStyleMedium7" showFirstColumn="0" showLastColumn="0" showRowStripes="1" showColumnStripes="0"/>
</table>
</file>

<file path=xl/tables/table2.xml><?xml version="1.0" encoding="utf-8"?>
<table xmlns="http://schemas.openxmlformats.org/spreadsheetml/2006/main" id="5" name="orders" displayName="orders" ref="A1:E6" tableType="queryTable" totalsRowShown="0">
  <autoFilter ref="A1:E6"/>
  <tableColumns count="5">
    <tableColumn id="11" uniqueName="11" name="order_id" queryTableFieldId="1" dataDxfId="8"/>
    <tableColumn id="12" uniqueName="12" name="customer_id" queryTableFieldId="2" dataDxfId="7"/>
    <tableColumn id="13" uniqueName="13" name="product_id" queryTableFieldId="3" dataDxfId="6"/>
    <tableColumn id="14" uniqueName="14" name="quantity" queryTableFieldId="4" dataDxfId="5"/>
    <tableColumn id="15" uniqueName="15" name="order_date" queryTableFieldId="5" dataDxfId="4"/>
  </tableColumns>
  <tableStyleInfo name="TableStyleMedium7" showFirstColumn="0" showLastColumn="0" showRowStripes="1" showColumnStripes="0"/>
</table>
</file>

<file path=xl/tables/table3.xml><?xml version="1.0" encoding="utf-8"?>
<table xmlns="http://schemas.openxmlformats.org/spreadsheetml/2006/main" id="6" name="products" displayName="products" ref="A1:D4" tableType="queryTable" totalsRowShown="0">
  <autoFilter ref="A1:D4"/>
  <tableColumns count="4">
    <tableColumn id="9" uniqueName="9" name="product_id" queryTableFieldId="1" dataDxfId="3"/>
    <tableColumn id="10" uniqueName="10" name="product_name" queryTableFieldId="2" dataDxfId="2"/>
    <tableColumn id="11" uniqueName="11" name="category" queryTableFieldId="3" dataDxfId="1"/>
    <tableColumn id="12" uniqueName="12" name="price"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0">
          <a:schemeClr val="accent5"/>
        </a:lnRef>
        <a:fillRef idx="3">
          <a:schemeClr val="accent5"/>
        </a:fillRef>
        <a:effectRef idx="3">
          <a:schemeClr val="accent5"/>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9:X43"/>
  <sheetViews>
    <sheetView showGridLines="0" showRowColHeaders="0" tabSelected="1" topLeftCell="A6" zoomScale="71" zoomScaleNormal="80" workbookViewId="0">
      <selection activeCell="A36" sqref="A36"/>
    </sheetView>
  </sheetViews>
  <sheetFormatPr defaultRowHeight="14.4" x14ac:dyDescent="0.3"/>
  <cols>
    <col min="3" max="3" width="8.5546875" customWidth="1"/>
    <col min="4" max="4" width="4.5546875" customWidth="1"/>
    <col min="5" max="5" width="22.109375" customWidth="1"/>
    <col min="6" max="6" width="24.77734375" customWidth="1"/>
    <col min="7" max="7" width="13.33203125" customWidth="1"/>
    <col min="8" max="8" width="16.44140625" customWidth="1"/>
    <col min="9" max="9" width="14.6640625" customWidth="1"/>
  </cols>
  <sheetData>
    <row r="19" spans="3:3" x14ac:dyDescent="0.3">
      <c r="C19" s="5"/>
    </row>
    <row r="35" spans="2:24" ht="18.600000000000001" customHeight="1" x14ac:dyDescent="0.3"/>
    <row r="36" spans="2:24" ht="28.8" customHeight="1" thickBot="1" x14ac:dyDescent="0.5">
      <c r="F36" s="22" t="s">
        <v>45</v>
      </c>
    </row>
    <row r="37" spans="2:24" ht="25.2" customHeight="1" thickTop="1" thickBot="1" x14ac:dyDescent="0.35">
      <c r="E37" s="11" t="s">
        <v>30</v>
      </c>
      <c r="F37" s="11" t="s">
        <v>31</v>
      </c>
      <c r="G37" s="11" t="s">
        <v>32</v>
      </c>
      <c r="H37" s="11" t="s">
        <v>33</v>
      </c>
    </row>
    <row r="38" spans="2:24" ht="25.2" customHeight="1" thickTop="1" thickBot="1" x14ac:dyDescent="0.4">
      <c r="E38" s="12" t="s">
        <v>34</v>
      </c>
      <c r="F38" s="13">
        <f>GETPIVOTDATA("[Measures].[Total_Revenue]",Tabels!$N$34)</f>
        <v>44000</v>
      </c>
      <c r="G38" s="14" t="s">
        <v>39</v>
      </c>
      <c r="H38" s="15" t="s">
        <v>41</v>
      </c>
    </row>
    <row r="39" spans="2:24" ht="19.8" customHeight="1" thickTop="1" thickBot="1" x14ac:dyDescent="0.4">
      <c r="E39" s="12" t="s">
        <v>35</v>
      </c>
      <c r="F39" s="13">
        <f>GETPIVOTDATA("[Measures].[Total_Orders]",Tabels!$N$38)</f>
        <v>5</v>
      </c>
      <c r="G39" s="14" t="s">
        <v>39</v>
      </c>
      <c r="H39" s="15" t="s">
        <v>41</v>
      </c>
    </row>
    <row r="40" spans="2:24" ht="22.2" customHeight="1" thickTop="1" thickBot="1" x14ac:dyDescent="0.4">
      <c r="E40" s="12" t="s">
        <v>36</v>
      </c>
      <c r="F40" s="13" t="str">
        <f>Tabels!B4</f>
        <v>Laptop</v>
      </c>
      <c r="G40" s="14" t="s">
        <v>40</v>
      </c>
      <c r="H40" s="15" t="s">
        <v>42</v>
      </c>
    </row>
    <row r="41" spans="2:24" ht="18.600000000000001" customHeight="1" thickTop="1" thickBot="1" x14ac:dyDescent="0.4">
      <c r="E41" s="12" t="s">
        <v>38</v>
      </c>
      <c r="F41" s="13">
        <f>GETPIVOTDATA("[Measures].[Average_order_value]",Tabels!$P$38)</f>
        <v>8800</v>
      </c>
      <c r="G41" s="14" t="s">
        <v>39</v>
      </c>
      <c r="H41" s="15" t="s">
        <v>43</v>
      </c>
    </row>
    <row r="42" spans="2:24" ht="19.2" customHeight="1" thickTop="1" thickBot="1" x14ac:dyDescent="0.4">
      <c r="E42" s="12" t="s">
        <v>37</v>
      </c>
      <c r="F42" s="13" t="str">
        <f>Tabels!N5</f>
        <v>Feb</v>
      </c>
      <c r="G42" s="14" t="s">
        <v>40</v>
      </c>
      <c r="H42" s="15" t="s">
        <v>42</v>
      </c>
    </row>
    <row r="43" spans="2:24" ht="15" thickTop="1" x14ac:dyDescent="0.3">
      <c r="B43" s="5"/>
      <c r="X4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61"/>
  <sheetViews>
    <sheetView zoomScale="85" zoomScaleNormal="85" workbookViewId="0">
      <selection activeCell="E60" sqref="E60"/>
    </sheetView>
  </sheetViews>
  <sheetFormatPr defaultRowHeight="14.4" outlineLevelRow="1" x14ac:dyDescent="0.3"/>
  <cols>
    <col min="1" max="1" width="12.5546875" customWidth="1"/>
    <col min="2" max="2" width="17.109375" customWidth="1"/>
    <col min="3" max="3" width="16.5546875" customWidth="1"/>
    <col min="4" max="4" width="15.88671875" customWidth="1"/>
    <col min="5" max="5" width="12.33203125" customWidth="1"/>
    <col min="6" max="6" width="13.109375" bestFit="1" customWidth="1"/>
    <col min="7" max="7" width="14.44140625" bestFit="1" customWidth="1"/>
    <col min="8" max="8" width="6.88671875" customWidth="1"/>
    <col min="9" max="9" width="13.44140625" customWidth="1"/>
    <col min="10" max="10" width="14.33203125" customWidth="1"/>
    <col min="11" max="11" width="19" customWidth="1"/>
    <col min="12" max="12" width="6.88671875" customWidth="1"/>
    <col min="13" max="13" width="6.44140625" customWidth="1"/>
    <col min="14" max="15" width="14.33203125" customWidth="1"/>
    <col min="16" max="16" width="14.6640625" customWidth="1"/>
    <col min="17" max="19" width="5" customWidth="1"/>
    <col min="20" max="20" width="12.44140625" bestFit="1" customWidth="1"/>
    <col min="21" max="21" width="10.6640625" bestFit="1" customWidth="1"/>
    <col min="22" max="22" width="20.33203125" bestFit="1" customWidth="1"/>
  </cols>
  <sheetData>
    <row r="3" spans="1:15" x14ac:dyDescent="0.3">
      <c r="B3" s="2" t="s">
        <v>21</v>
      </c>
      <c r="C3" t="s">
        <v>26</v>
      </c>
      <c r="I3" s="2" t="s">
        <v>21</v>
      </c>
      <c r="J3" t="s">
        <v>26</v>
      </c>
      <c r="N3" s="2" t="s">
        <v>21</v>
      </c>
      <c r="O3" t="s">
        <v>26</v>
      </c>
    </row>
    <row r="4" spans="1:15" x14ac:dyDescent="0.3">
      <c r="A4" s="3"/>
      <c r="B4" s="3" t="s">
        <v>1</v>
      </c>
      <c r="C4" s="4">
        <v>30000</v>
      </c>
      <c r="I4" s="3" t="s">
        <v>19</v>
      </c>
      <c r="J4" s="4">
        <v>38000</v>
      </c>
      <c r="N4" s="3" t="s">
        <v>23</v>
      </c>
      <c r="O4" s="4">
        <v>17400</v>
      </c>
    </row>
    <row r="5" spans="1:15" x14ac:dyDescent="0.3">
      <c r="A5" s="3"/>
      <c r="B5" s="3" t="s">
        <v>2</v>
      </c>
      <c r="C5" s="4">
        <v>8000</v>
      </c>
      <c r="I5" s="3" t="s">
        <v>20</v>
      </c>
      <c r="J5" s="4">
        <v>6000</v>
      </c>
      <c r="N5" s="3" t="s">
        <v>24</v>
      </c>
      <c r="O5" s="4">
        <v>23000</v>
      </c>
    </row>
    <row r="6" spans="1:15" x14ac:dyDescent="0.3">
      <c r="A6" s="3"/>
      <c r="B6" s="3" t="s">
        <v>3</v>
      </c>
      <c r="C6" s="4">
        <v>6000</v>
      </c>
      <c r="I6" s="3" t="s">
        <v>22</v>
      </c>
      <c r="J6" s="4">
        <v>44000</v>
      </c>
      <c r="N6" s="3" t="s">
        <v>25</v>
      </c>
      <c r="O6" s="4">
        <v>3600</v>
      </c>
    </row>
    <row r="7" spans="1:15" x14ac:dyDescent="0.3">
      <c r="A7" s="3"/>
      <c r="B7" s="3" t="s">
        <v>22</v>
      </c>
      <c r="C7" s="4">
        <v>44000</v>
      </c>
      <c r="N7" s="3" t="s">
        <v>22</v>
      </c>
      <c r="O7" s="4">
        <v>44000</v>
      </c>
    </row>
    <row r="34" spans="2:16" x14ac:dyDescent="0.3">
      <c r="N34" t="s">
        <v>26</v>
      </c>
      <c r="P34" t="s">
        <v>27</v>
      </c>
    </row>
    <row r="35" spans="2:16" x14ac:dyDescent="0.3">
      <c r="B35" s="2" t="s">
        <v>21</v>
      </c>
      <c r="C35" t="s">
        <v>26</v>
      </c>
      <c r="N35" s="4">
        <v>44000</v>
      </c>
      <c r="P35" s="4">
        <v>8</v>
      </c>
    </row>
    <row r="36" spans="2:16" x14ac:dyDescent="0.3">
      <c r="B36" s="3" t="s">
        <v>7</v>
      </c>
      <c r="C36" s="4">
        <v>17400</v>
      </c>
      <c r="N36">
        <f>GETPIVOTDATA("[Measures].[Total_Revenue]",$N$34)</f>
        <v>44000</v>
      </c>
      <c r="P36">
        <f>GETPIVOTDATA("[Measures].[Total_Quantity]",$P$34)</f>
        <v>8</v>
      </c>
    </row>
    <row r="37" spans="2:16" x14ac:dyDescent="0.3">
      <c r="B37" s="3" t="s">
        <v>11</v>
      </c>
      <c r="C37" s="4">
        <v>15000</v>
      </c>
    </row>
    <row r="38" spans="2:16" x14ac:dyDescent="0.3">
      <c r="B38" s="3" t="s">
        <v>9</v>
      </c>
      <c r="C38" s="4">
        <v>11600</v>
      </c>
      <c r="N38" t="s">
        <v>28</v>
      </c>
      <c r="P38" t="s">
        <v>29</v>
      </c>
    </row>
    <row r="39" spans="2:16" x14ac:dyDescent="0.3">
      <c r="B39" s="3" t="s">
        <v>22</v>
      </c>
      <c r="C39" s="4">
        <v>44000</v>
      </c>
      <c r="N39" s="4">
        <v>5</v>
      </c>
      <c r="P39" s="4">
        <v>8800</v>
      </c>
    </row>
    <row r="40" spans="2:16" x14ac:dyDescent="0.3">
      <c r="N40">
        <f>GETPIVOTDATA("[Measures].[Total_Orders]",$N$38)</f>
        <v>5</v>
      </c>
      <c r="P40">
        <f>GETPIVOTDATA("[Measures].[Average_order_value]",$P$38)</f>
        <v>8800</v>
      </c>
    </row>
    <row r="43" spans="2:16" x14ac:dyDescent="0.3">
      <c r="N43" s="3"/>
      <c r="O43" s="4"/>
    </row>
    <row r="44" spans="2:16" x14ac:dyDescent="0.3">
      <c r="N44" s="3"/>
      <c r="O44" s="4"/>
    </row>
    <row r="45" spans="2:16" x14ac:dyDescent="0.3">
      <c r="N45" s="3"/>
      <c r="O45" s="4"/>
    </row>
    <row r="46" spans="2:16" x14ac:dyDescent="0.3">
      <c r="N46" s="3"/>
      <c r="O46" s="4"/>
    </row>
    <row r="51" spans="2:5" ht="24" thickBot="1" x14ac:dyDescent="0.5">
      <c r="C51" s="21" t="s">
        <v>44</v>
      </c>
    </row>
    <row r="52" spans="2:5" ht="16.8" thickTop="1" thickBot="1" x14ac:dyDescent="0.35">
      <c r="B52" s="7" t="s">
        <v>30</v>
      </c>
      <c r="C52" s="7" t="s">
        <v>31</v>
      </c>
      <c r="D52" s="7" t="s">
        <v>32</v>
      </c>
      <c r="E52" s="7" t="s">
        <v>33</v>
      </c>
    </row>
    <row r="53" spans="2:5" ht="16.8" thickTop="1" thickBot="1" x14ac:dyDescent="0.35">
      <c r="B53" s="8" t="s">
        <v>34</v>
      </c>
      <c r="C53" s="16">
        <f>GETPIVOTDATA("[Measures].[Total_Revenue]",$N$34)</f>
        <v>44000</v>
      </c>
      <c r="D53" s="9" t="s">
        <v>39</v>
      </c>
      <c r="E53" s="10" t="s">
        <v>41</v>
      </c>
    </row>
    <row r="54" spans="2:5" ht="16.8" thickTop="1" thickBot="1" x14ac:dyDescent="0.35">
      <c r="B54" s="8" t="s">
        <v>35</v>
      </c>
      <c r="C54" s="16">
        <f>GETPIVOTDATA("[Measures].[Total_Orders]",$N$38)</f>
        <v>5</v>
      </c>
      <c r="D54" s="9" t="s">
        <v>39</v>
      </c>
      <c r="E54" s="10" t="s">
        <v>41</v>
      </c>
    </row>
    <row r="55" spans="2:5" ht="16.8" outlineLevel="1" thickTop="1" thickBot="1" x14ac:dyDescent="0.35">
      <c r="B55" s="8" t="s">
        <v>36</v>
      </c>
      <c r="C55" s="16">
        <f>GETPIVOTDATA("[Measures].[Total_Revenue]",$B$3,"[products].[product_name]","[products].[product_name].&amp;[Laptop]")</f>
        <v>30000</v>
      </c>
      <c r="D55" s="9" t="s">
        <v>40</v>
      </c>
      <c r="E55" s="10" t="s">
        <v>42</v>
      </c>
    </row>
    <row r="56" spans="2:5" ht="18" customHeight="1" outlineLevel="1" thickTop="1" thickBot="1" x14ac:dyDescent="0.35">
      <c r="B56" s="8" t="s">
        <v>38</v>
      </c>
      <c r="C56" s="16">
        <f>GETPIVOTDATA("[Measures].[Average_order_value]",$P$38)</f>
        <v>8800</v>
      </c>
      <c r="D56" s="9" t="s">
        <v>39</v>
      </c>
      <c r="E56" s="10" t="s">
        <v>43</v>
      </c>
    </row>
    <row r="57" spans="2:5" ht="16.8" outlineLevel="1" thickTop="1" thickBot="1" x14ac:dyDescent="0.35">
      <c r="B57" s="17" t="s">
        <v>37</v>
      </c>
      <c r="C57" s="18" t="str">
        <f>N5</f>
        <v>Feb</v>
      </c>
      <c r="D57" s="19" t="s">
        <v>40</v>
      </c>
      <c r="E57" s="20" t="s">
        <v>42</v>
      </c>
    </row>
    <row r="58" spans="2:5" ht="15" outlineLevel="1" thickTop="1" x14ac:dyDescent="0.3"/>
    <row r="59" spans="2:5" ht="20.399999999999999" customHeight="1" outlineLevel="1" x14ac:dyDescent="0.3"/>
    <row r="60" spans="2:5" outlineLevel="1" x14ac:dyDescent="0.3"/>
    <row r="61" spans="2:5" x14ac:dyDescent="0.3">
      <c r="D61" s="6"/>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D20" sqref="D20"/>
    </sheetView>
  </sheetViews>
  <sheetFormatPr defaultRowHeight="14.4" x14ac:dyDescent="0.3"/>
  <cols>
    <col min="1" max="1" width="13.6640625" bestFit="1" customWidth="1"/>
    <col min="2" max="2" width="17" bestFit="1" customWidth="1"/>
    <col min="3" max="3" width="6.33203125" bestFit="1" customWidth="1"/>
    <col min="7" max="7" width="10.44140625" customWidth="1"/>
  </cols>
  <sheetData>
    <row r="1" spans="1:3" x14ac:dyDescent="0.3">
      <c r="A1" t="s">
        <v>4</v>
      </c>
      <c r="B1" t="s">
        <v>5</v>
      </c>
      <c r="C1" t="s">
        <v>6</v>
      </c>
    </row>
    <row r="2" spans="1:3" x14ac:dyDescent="0.3">
      <c r="A2">
        <v>1</v>
      </c>
      <c r="B2" t="s">
        <v>7</v>
      </c>
      <c r="C2" t="s">
        <v>8</v>
      </c>
    </row>
    <row r="3" spans="1:3" x14ac:dyDescent="0.3">
      <c r="A3">
        <v>2</v>
      </c>
      <c r="B3" t="s">
        <v>9</v>
      </c>
      <c r="C3" t="s">
        <v>10</v>
      </c>
    </row>
    <row r="4" spans="1:3" x14ac:dyDescent="0.3">
      <c r="A4">
        <v>3</v>
      </c>
      <c r="B4" t="s">
        <v>11</v>
      </c>
      <c r="C4" t="s">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6" sqref="E26"/>
    </sheetView>
  </sheetViews>
  <sheetFormatPr defaultRowHeight="14.4" x14ac:dyDescent="0.3"/>
  <cols>
    <col min="1" max="1" width="10.33203125" bestFit="1" customWidth="1"/>
    <col min="2" max="2" width="13.6640625" bestFit="1" customWidth="1"/>
    <col min="3" max="3" width="12.44140625" bestFit="1" customWidth="1"/>
    <col min="4" max="4" width="10.33203125" bestFit="1" customWidth="1"/>
    <col min="5" max="5" width="12.5546875" bestFit="1" customWidth="1"/>
  </cols>
  <sheetData>
    <row r="1" spans="1:5" x14ac:dyDescent="0.3">
      <c r="A1" t="s">
        <v>13</v>
      </c>
      <c r="B1" t="s">
        <v>4</v>
      </c>
      <c r="C1" t="s">
        <v>14</v>
      </c>
      <c r="D1" t="s">
        <v>15</v>
      </c>
      <c r="E1" t="s">
        <v>16</v>
      </c>
    </row>
    <row r="2" spans="1:5" x14ac:dyDescent="0.3">
      <c r="A2">
        <v>1</v>
      </c>
      <c r="B2">
        <v>1</v>
      </c>
      <c r="C2">
        <v>1</v>
      </c>
      <c r="D2">
        <v>1</v>
      </c>
      <c r="E2" s="1">
        <v>46032</v>
      </c>
    </row>
    <row r="3" spans="1:5" x14ac:dyDescent="0.3">
      <c r="A3">
        <v>2</v>
      </c>
      <c r="B3">
        <v>1</v>
      </c>
      <c r="C3">
        <v>3</v>
      </c>
      <c r="D3">
        <v>2</v>
      </c>
      <c r="E3" s="1">
        <v>46037</v>
      </c>
    </row>
    <row r="4" spans="1:5" x14ac:dyDescent="0.3">
      <c r="A4">
        <v>3</v>
      </c>
      <c r="B4">
        <v>2</v>
      </c>
      <c r="C4">
        <v>2</v>
      </c>
      <c r="D4">
        <v>1</v>
      </c>
      <c r="E4" s="1">
        <v>46058</v>
      </c>
    </row>
    <row r="5" spans="1:5" x14ac:dyDescent="0.3">
      <c r="A5">
        <v>4</v>
      </c>
      <c r="B5">
        <v>3</v>
      </c>
      <c r="C5">
        <v>1</v>
      </c>
      <c r="D5">
        <v>1</v>
      </c>
      <c r="E5" s="1">
        <v>46065</v>
      </c>
    </row>
    <row r="6" spans="1:5" x14ac:dyDescent="0.3">
      <c r="A6">
        <v>5</v>
      </c>
      <c r="B6">
        <v>2</v>
      </c>
      <c r="C6">
        <v>3</v>
      </c>
      <c r="D6">
        <v>3</v>
      </c>
      <c r="E6" s="1">
        <v>46082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G20" sqref="G20"/>
    </sheetView>
  </sheetViews>
  <sheetFormatPr defaultRowHeight="14.4" x14ac:dyDescent="0.3"/>
  <cols>
    <col min="1" max="1" width="12.44140625" bestFit="1" customWidth="1"/>
    <col min="2" max="2" width="15.6640625" bestFit="1" customWidth="1"/>
    <col min="3" max="3" width="10.5546875" bestFit="1" customWidth="1"/>
    <col min="4" max="4" width="7.33203125" bestFit="1" customWidth="1"/>
  </cols>
  <sheetData>
    <row r="1" spans="1:4" x14ac:dyDescent="0.3">
      <c r="A1" t="s">
        <v>14</v>
      </c>
      <c r="B1" t="s">
        <v>0</v>
      </c>
      <c r="C1" t="s">
        <v>17</v>
      </c>
      <c r="D1" t="s">
        <v>18</v>
      </c>
    </row>
    <row r="2" spans="1:4" x14ac:dyDescent="0.3">
      <c r="A2">
        <v>1</v>
      </c>
      <c r="B2" t="s">
        <v>1</v>
      </c>
      <c r="C2" t="s">
        <v>19</v>
      </c>
      <c r="D2">
        <v>15000</v>
      </c>
    </row>
    <row r="3" spans="1:4" x14ac:dyDescent="0.3">
      <c r="A3">
        <v>2</v>
      </c>
      <c r="B3" t="s">
        <v>2</v>
      </c>
      <c r="C3" t="s">
        <v>19</v>
      </c>
      <c r="D3">
        <v>8000</v>
      </c>
    </row>
    <row r="4" spans="1:4" x14ac:dyDescent="0.3">
      <c r="A4">
        <v>3</v>
      </c>
      <c r="B4" t="s">
        <v>3</v>
      </c>
      <c r="C4" t="s">
        <v>20</v>
      </c>
      <c r="D4">
        <v>1200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41D6F3A1-3648-417B-AA89-DE5635DCA9FC}">
  <ds:schemaRefs/>
</ds:datastoreItem>
</file>

<file path=customXml/itemProps2.xml><?xml version="1.0" encoding="utf-8"?>
<ds:datastoreItem xmlns:ds="http://schemas.openxmlformats.org/officeDocument/2006/customXml" ds:itemID="{12D7BFC9-5DB7-4A94-839B-AC2A2E1FDBC7}">
  <ds:schemaRefs/>
</ds:datastoreItem>
</file>

<file path=customXml/itemProps3.xml><?xml version="1.0" encoding="utf-8"?>
<ds:datastoreItem xmlns:ds="http://schemas.openxmlformats.org/officeDocument/2006/customXml" ds:itemID="{DC339EB3-603C-4A37-929D-1542B34D01DB}">
  <ds:schemaRefs/>
</ds:datastoreItem>
</file>

<file path=customXml/itemProps4.xml><?xml version="1.0" encoding="utf-8"?>
<ds:datastoreItem xmlns:ds="http://schemas.openxmlformats.org/officeDocument/2006/customXml" ds:itemID="{F1A685BE-D7C0-43D7-9139-3B8A15CA370E}">
  <ds:schemaRefs/>
</ds:datastoreItem>
</file>

<file path=customXml/itemProps5.xml><?xml version="1.0" encoding="utf-8"?>
<ds:datastoreItem xmlns:ds="http://schemas.openxmlformats.org/officeDocument/2006/customXml" ds:itemID="{31175DF5-9777-48C9-AF2D-F4CC3A7A5820}">
  <ds:schemaRefs/>
</ds:datastoreItem>
</file>

<file path=customXml/itemProps6.xml><?xml version="1.0" encoding="utf-8"?>
<ds:datastoreItem xmlns:ds="http://schemas.openxmlformats.org/officeDocument/2006/customXml" ds:itemID="{CD0575E8-3416-4803-8F60-7F8D3AEE66FF}">
  <ds:schemaRefs/>
</ds:datastoreItem>
</file>

<file path=customXml/itemProps7.xml><?xml version="1.0" encoding="utf-8"?>
<ds:datastoreItem xmlns:ds="http://schemas.openxmlformats.org/officeDocument/2006/customXml" ds:itemID="{5CC4167E-3782-4353-B59C-7A4A8B80CD6D}">
  <ds:schemaRefs/>
</ds:datastoreItem>
</file>

<file path=customXml/itemProps8.xml><?xml version="1.0" encoding="utf-8"?>
<ds:datastoreItem xmlns:ds="http://schemas.openxmlformats.org/officeDocument/2006/customXml" ds:itemID="{66F6B48E-16A9-4559-A6F2-85F4BA4BE146}">
  <ds:schemaRefs/>
</ds:datastoreItem>
</file>

<file path=customXml/itemProps9.xml><?xml version="1.0" encoding="utf-8"?>
<ds:datastoreItem xmlns:ds="http://schemas.openxmlformats.org/officeDocument/2006/customXml" ds:itemID="{F2BCF0F0-7FCD-4A9E-BF0B-EA18092301C5}">
  <ds:schemaRefs/>
</ds:datastoreItem>
</file>

<file path=customXml/itemProps10.xml><?xml version="1.0" encoding="utf-8"?>
<ds:datastoreItem xmlns:ds="http://schemas.openxmlformats.org/officeDocument/2006/customXml" ds:itemID="{4331A85F-3238-4890-B838-C0393C37CD7A}">
  <ds:schemaRefs/>
</ds:datastoreItem>
</file>

<file path=customXml/itemProps11.xml><?xml version="1.0" encoding="utf-8"?>
<ds:datastoreItem xmlns:ds="http://schemas.openxmlformats.org/officeDocument/2006/customXml" ds:itemID="{CCEBA90D-8FBB-4D34-B6CA-6E550566052F}">
  <ds:schemaRefs/>
</ds:datastoreItem>
</file>

<file path=customXml/itemProps12.xml><?xml version="1.0" encoding="utf-8"?>
<ds:datastoreItem xmlns:ds="http://schemas.openxmlformats.org/officeDocument/2006/customXml" ds:itemID="{670B694D-448D-40DB-B94D-BC29A5DEE081}">
  <ds:schemaRefs/>
</ds:datastoreItem>
</file>

<file path=customXml/itemProps13.xml><?xml version="1.0" encoding="utf-8"?>
<ds:datastoreItem xmlns:ds="http://schemas.openxmlformats.org/officeDocument/2006/customXml" ds:itemID="{2858D442-BB8F-4E70-8A2B-E76F274CC0A3}">
  <ds:schemaRefs/>
</ds:datastoreItem>
</file>

<file path=customXml/itemProps14.xml><?xml version="1.0" encoding="utf-8"?>
<ds:datastoreItem xmlns:ds="http://schemas.openxmlformats.org/officeDocument/2006/customXml" ds:itemID="{EFE6D8F0-547A-4B28-8289-10669BE67823}">
  <ds:schemaRefs/>
</ds:datastoreItem>
</file>

<file path=customXml/itemProps15.xml><?xml version="1.0" encoding="utf-8"?>
<ds:datastoreItem xmlns:ds="http://schemas.openxmlformats.org/officeDocument/2006/customXml" ds:itemID="{3C5DED01-DD2D-46F4-9CA2-101B9EEB448A}">
  <ds:schemaRefs/>
</ds:datastoreItem>
</file>

<file path=customXml/itemProps16.xml><?xml version="1.0" encoding="utf-8"?>
<ds:datastoreItem xmlns:ds="http://schemas.openxmlformats.org/officeDocument/2006/customXml" ds:itemID="{5A2ACA3A-35F5-4205-82A6-7FD29203EF2C}">
  <ds:schemaRefs/>
</ds:datastoreItem>
</file>

<file path=customXml/itemProps17.xml><?xml version="1.0" encoding="utf-8"?>
<ds:datastoreItem xmlns:ds="http://schemas.openxmlformats.org/officeDocument/2006/customXml" ds:itemID="{8D533410-1CA9-4441-B366-4E506A59D2C6}">
  <ds:schemaRefs/>
</ds:datastoreItem>
</file>

<file path=customXml/itemProps18.xml><?xml version="1.0" encoding="utf-8"?>
<ds:datastoreItem xmlns:ds="http://schemas.openxmlformats.org/officeDocument/2006/customXml" ds:itemID="{938DA39A-CEFA-4125-B002-A129DCDFA871}">
  <ds:schemaRefs/>
</ds:datastoreItem>
</file>

<file path=customXml/itemProps19.xml><?xml version="1.0" encoding="utf-8"?>
<ds:datastoreItem xmlns:ds="http://schemas.openxmlformats.org/officeDocument/2006/customXml" ds:itemID="{52233D0C-A283-4211-8E74-DF5E4D8EE562}">
  <ds:schemaRefs/>
</ds:datastoreItem>
</file>

<file path=customXml/itemProps20.xml><?xml version="1.0" encoding="utf-8"?>
<ds:datastoreItem xmlns:ds="http://schemas.openxmlformats.org/officeDocument/2006/customXml" ds:itemID="{71124108-FD38-44DC-A88A-38B0546B0B40}">
  <ds:schemaRefs/>
</ds:datastoreItem>
</file>

<file path=customXml/itemProps21.xml><?xml version="1.0" encoding="utf-8"?>
<ds:datastoreItem xmlns:ds="http://schemas.openxmlformats.org/officeDocument/2006/customXml" ds:itemID="{0E2B2573-B048-4DC7-ABE4-4064FDAA872C}">
  <ds:schemaRefs/>
</ds:datastoreItem>
</file>

<file path=customXml/itemProps22.xml><?xml version="1.0" encoding="utf-8"?>
<ds:datastoreItem xmlns:ds="http://schemas.openxmlformats.org/officeDocument/2006/customXml" ds:itemID="{CA5B3186-F672-463C-BE34-256F462BA9F0}">
  <ds:schemaRefs/>
</ds:datastoreItem>
</file>

<file path=customXml/itemProps23.xml><?xml version="1.0" encoding="utf-8"?>
<ds:datastoreItem xmlns:ds="http://schemas.openxmlformats.org/officeDocument/2006/customXml" ds:itemID="{C086F200-784C-47F5-A221-34C05540B001}">
  <ds:schemaRefs/>
</ds:datastoreItem>
</file>

<file path=customXml/itemProps24.xml><?xml version="1.0" encoding="utf-8"?>
<ds:datastoreItem xmlns:ds="http://schemas.openxmlformats.org/officeDocument/2006/customXml" ds:itemID="{58F5899B-70BE-49EA-BE4B-6240A331ED64}">
  <ds:schemaRefs/>
</ds:datastoreItem>
</file>

<file path=customXml/itemProps25.xml><?xml version="1.0" encoding="utf-8"?>
<ds:datastoreItem xmlns:ds="http://schemas.openxmlformats.org/officeDocument/2006/customXml" ds:itemID="{15AD52C3-AC28-499F-B3FA-CD158FEF4732}">
  <ds:schemaRefs/>
</ds:datastoreItem>
</file>

<file path=customXml/itemProps26.xml><?xml version="1.0" encoding="utf-8"?>
<ds:datastoreItem xmlns:ds="http://schemas.openxmlformats.org/officeDocument/2006/customXml" ds:itemID="{A16D4DDF-5E15-49AB-A4D2-39F32E7718BC}">
  <ds:schemaRefs>
    <ds:schemaRef ds:uri="http://schemas.microsoft.com/DataMashup"/>
  </ds:schemaRefs>
</ds:datastoreItem>
</file>

<file path=customXml/itemProps27.xml><?xml version="1.0" encoding="utf-8"?>
<ds:datastoreItem xmlns:ds="http://schemas.openxmlformats.org/officeDocument/2006/customXml" ds:itemID="{B2D12C0D-F940-46A8-BDFE-811628B87060}">
  <ds:schemaRefs/>
</ds:datastoreItem>
</file>

<file path=customXml/itemProps28.xml><?xml version="1.0" encoding="utf-8"?>
<ds:datastoreItem xmlns:ds="http://schemas.openxmlformats.org/officeDocument/2006/customXml" ds:itemID="{A3A64928-1608-49F3-8CBD-41E3EF6BB9DB}">
  <ds:schemaRefs/>
</ds:datastoreItem>
</file>

<file path=customXml/itemProps29.xml><?xml version="1.0" encoding="utf-8"?>
<ds:datastoreItem xmlns:ds="http://schemas.openxmlformats.org/officeDocument/2006/customXml" ds:itemID="{CDA8CE91-215B-4CD0-A9E9-86C1CD991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Tabels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mobi lap</dc:creator>
  <cp:lastModifiedBy>mobi lap</cp:lastModifiedBy>
  <dcterms:created xsi:type="dcterms:W3CDTF">2026-05-10T08:44:31Z</dcterms:created>
  <dcterms:modified xsi:type="dcterms:W3CDTF">2026-06-09T12:53:50Z</dcterms:modified>
</cp:coreProperties>
</file>